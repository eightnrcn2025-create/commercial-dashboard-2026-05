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首页" sheetId="1" state="visible" r:id="rId1"/>
    <sheet name="口径说明" sheetId="2" state="visible" r:id="rId2"/>
    <sheet name="日明细30天" sheetId="3" state="visible" r:id="rId3"/>
    <sheet name="套餐7天" sheetId="4" state="visible" r:id="rId4"/>
    <sheet name="网游TOP" sheetId="5" state="visible" r:id="rId5"/>
    <sheet name="单机TOP" sheetId="6" state="visible" r:id="rId6"/>
    <sheet name="渠道TOP" sheetId="7" state="visible" r:id="rId7"/>
    <sheet name="平台LTV" sheetId="8" state="visible" r:id="rId8"/>
    <sheet name="平台留存" sheetId="9" state="visible" r:id="rId9"/>
    <sheet name="日活留存预留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9">
    <font>
      <name val="Calibri"/>
      <family val="2"/>
      <color theme="1"/>
      <sz val="11"/>
      <scheme val="minor"/>
    </font>
    <font>
      <name val="Microsoft YaHei"/>
      <b val="1"/>
      <color rgb="001F4E78"/>
      <sz val="18"/>
    </font>
    <font>
      <name val="Microsoft YaHei"/>
      <i val="1"/>
      <color rgb="00595959"/>
      <sz val="9"/>
    </font>
    <font>
      <name val="Microsoft YaHei"/>
      <b val="1"/>
      <color rgb="001F4E78"/>
      <sz val="14"/>
    </font>
    <font>
      <name val="Microsoft YaHei"/>
      <b val="1"/>
      <sz val="11"/>
    </font>
    <font>
      <name val="Microsoft YaHei"/>
      <b val="1"/>
      <color rgb="00C00000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3" fontId="5" fillId="0" borderId="1" pivotButton="0" quotePrefix="0" xfId="0"/>
    <xf numFmtId="0" fontId="6" fillId="2" borderId="1" applyAlignment="1" pivotButton="0" quotePrefix="0" xfId="0">
      <alignment horizontal="center" vertical="center"/>
    </xf>
    <xf numFmtId="3" fontId="0" fillId="0" borderId="1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 wrapText="1"/>
    </xf>
    <xf numFmtId="0" fontId="7" fillId="0" borderId="1" applyAlignment="1" pivotButton="0" quotePrefix="0" xfId="0">
      <alignment vertical="top" wrapText="1"/>
    </xf>
    <xf numFmtId="0" fontId="6" fillId="2" borderId="0" pivotButton="0" quotePrefix="0" xfId="0"/>
    <xf numFmtId="0" fontId="0" fillId="0" borderId="1" pivotButton="0" quotePrefix="0" xfId="0"/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0" fontId="6" fillId="2" borderId="1" applyAlignment="1" pivotButton="0" quotePrefix="0" xfId="0">
      <alignment horizontal="center"/>
    </xf>
    <xf numFmtId="0" fontId="8" fillId="0" borderId="0" pivotButton="0" quotePrefix="0" xfId="0"/>
    <xf numFmtId="2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近 30 天趋势（充值金额 / 注册 / 日活）</a:t>
            </a:r>
          </a:p>
        </rich>
      </tx>
    </title>
    <plotArea>
      <lineChart>
        <grouping val="standard"/>
        <ser>
          <idx val="0"/>
          <order val="0"/>
          <tx>
            <strRef>
              <f>'日明细30天'!B4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'日明细30天'!$A$5:$A$34</f>
            </numRef>
          </cat>
          <val>
            <numRef>
              <f>'日明细30天'!$B$5:$B$34</f>
            </numRef>
          </val>
        </ser>
        <ser>
          <idx val="1"/>
          <order val="1"/>
          <tx>
            <strRef>
              <f>'日明细30天'!C4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'日明细30天'!$A$5:$A$34</f>
            </numRef>
          </cat>
          <val>
            <numRef>
              <f>'日明细30天'!$C$5:$C$34</f>
            </numRef>
          </val>
        </ser>
        <ser>
          <idx val="2"/>
          <order val="2"/>
          <tx>
            <strRef>
              <f>'日明细30天'!E4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'日明细30天'!$A$5:$A$34</f>
            </numRef>
          </cat>
          <val>
            <numRef>
              <f>'日明细30天'!$E$5:$E$34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套餐实际收入（近 7 天）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'套餐7天'!I4</f>
            </strRef>
          </tx>
          <spPr>
            <a:ln>
              <a:prstDash val="solid"/>
            </a:ln>
          </spPr>
          <cat>
            <numRef>
              <f>'套餐7天'!$B$5:$B$16</f>
            </numRef>
          </cat>
          <val>
            <numRef>
              <f>'套餐7天'!$I$5:$I$16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网游充值金额 TOP（近 7 天）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'网游TOP'!E4</f>
            </strRef>
          </tx>
          <spPr>
            <a:ln>
              <a:prstDash val="solid"/>
            </a:ln>
          </spPr>
          <cat>
            <numRef>
              <f>'网游TOP'!$A$5:$A$27</f>
            </numRef>
          </cat>
          <val>
            <numRef>
              <f>'网游TOP'!$E$5:$E$27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单机消费 G 点 TOP 20（近 7 天）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'单机TOP'!C5</f>
            </strRef>
          </tx>
          <spPr>
            <a:ln>
              <a:prstDash val="solid"/>
            </a:ln>
          </spPr>
          <cat>
            <numRef>
              <f>'单机TOP'!$A$6:$A$25</f>
            </numRef>
          </cat>
          <val>
            <numRef>
              <f>'单机TOP'!$C$6:$C$25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TOP 渠道充值金额（近 7 天）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'渠道TOP'!E4</f>
            </strRef>
          </tx>
          <spPr>
            <a:ln>
              <a:prstDash val="solid"/>
            </a:ln>
          </spPr>
          <cat>
            <numRef>
              <f>'渠道TOP'!$A$5:$A$23</f>
            </numRef>
          </cat>
          <val>
            <numRef>
              <f>'渠道TOP'!$E$5:$E$23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平台 LTV 趋势</a:t>
            </a:r>
          </a:p>
        </rich>
      </tx>
    </title>
    <plotArea>
      <lineChart>
        <grouping val="standard"/>
        <ser>
          <idx val="0"/>
          <order val="0"/>
          <tx>
            <strRef>
              <f>'平台LTV'!C5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'平台LTV'!$A$6:$A$35</f>
            </numRef>
          </cat>
          <val>
            <numRef>
              <f>'平台LTV'!$C$6:$C$35</f>
            </numRef>
          </val>
        </ser>
        <ser>
          <idx val="1"/>
          <order val="1"/>
          <tx>
            <strRef>
              <f>'平台LTV'!D5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'平台LTV'!$A$6:$A$35</f>
            </numRef>
          </cat>
          <val>
            <numRef>
              <f>'平台LTV'!$D$6:$D$35</f>
            </numRef>
          </val>
        </ser>
        <ser>
          <idx val="2"/>
          <order val="2"/>
          <tx>
            <strRef>
              <f>'平台LTV'!E5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'平台LTV'!$A$6:$A$35</f>
            </numRef>
          </cat>
          <val>
            <numRef>
              <f>'平台LTV'!$E$6:$E$35</f>
            </numRef>
          </val>
        </ser>
        <ser>
          <idx val="3"/>
          <order val="3"/>
          <tx>
            <strRef>
              <f>'平台LTV'!F5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'平台LTV'!$A$6:$A$35</f>
            </numRef>
          </cat>
          <val>
            <numRef>
              <f>'平台LTV'!$F$6:$F$35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平台留存率趋势 (%)</a:t>
            </a:r>
          </a:p>
        </rich>
      </tx>
    </title>
    <plotArea>
      <lineChart>
        <grouping val="standard"/>
        <ser>
          <idx val="0"/>
          <order val="0"/>
          <tx>
            <strRef>
              <f>'平台留存'!C5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'平台留存'!$A$6:$A$35</f>
            </numRef>
          </cat>
          <val>
            <numRef>
              <f>'平台留存'!$C$6:$C$35</f>
            </numRef>
          </val>
        </ser>
        <ser>
          <idx val="1"/>
          <order val="1"/>
          <tx>
            <strRef>
              <f>'平台留存'!D5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'平台留存'!$A$6:$A$35</f>
            </numRef>
          </cat>
          <val>
            <numRef>
              <f>'平台留存'!$D$6:$D$35</f>
            </numRef>
          </val>
        </ser>
        <ser>
          <idx val="2"/>
          <order val="2"/>
          <tx>
            <strRef>
              <f>'平台留存'!E5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'平台留存'!$A$6:$A$35</f>
            </numRef>
          </cat>
          <val>
            <numRef>
              <f>'平台留存'!$E$6:$E$35</f>
            </numRef>
          </val>
        </ser>
        <ser>
          <idx val="3"/>
          <order val="3"/>
          <tx>
            <strRef>
              <f>'平台留存'!F5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'平台留存'!$A$6:$A$35</f>
            </numRef>
          </cat>
          <val>
            <numRef>
              <f>'平台留存'!$F$6:$F$35</f>
            </numRef>
          </val>
        </ser>
        <ser>
          <idx val="4"/>
          <order val="4"/>
          <tx>
            <strRef>
              <f>'平台留存'!G5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'平台留存'!$A$6:$A$35</f>
            </numRef>
          </cat>
          <val>
            <numRef>
              <f>'平台留存'!$G$6:$G$35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g654321.com 商业化指标看板</t>
        </is>
      </c>
    </row>
    <row r="2">
      <c r="A2" s="2" t="inlineStr">
        <is>
          <t>数据更新时间：2026-05-28 18:00（截至5/28下午）；趋势数据为 2026-04-28 ~ 2026-05-27 完整 30 天</t>
        </is>
      </c>
    </row>
    <row r="4">
      <c r="A4" s="3" t="inlineStr">
        <is>
          <t>一、累计大盘（来源：系统统计 &gt; 系统统计 卡片）</t>
        </is>
      </c>
    </row>
    <row r="6">
      <c r="A6" s="4" t="inlineStr">
        <is>
          <t>会员总数</t>
        </is>
      </c>
      <c r="B6" s="5" t="n">
        <v>5612182</v>
      </c>
      <c r="C6" s="2" t="inlineStr">
        <is>
          <t>总注册用户数</t>
        </is>
      </c>
    </row>
    <row r="7">
      <c r="A7" s="4" t="inlineStr">
        <is>
          <t>付费人数</t>
        </is>
      </c>
      <c r="B7" s="5" t="n">
        <v>80375</v>
      </c>
      <c r="C7" s="2" t="inlineStr">
        <is>
          <t>总付费用户数（付费渗透率=付费/注册）</t>
        </is>
      </c>
    </row>
    <row r="8">
      <c r="A8" s="4" t="inlineStr">
        <is>
          <t>总充值（元）</t>
        </is>
      </c>
      <c r="B8" s="5" t="n">
        <v>7528032</v>
      </c>
      <c r="C8" s="2" t="inlineStr">
        <is>
          <t>总订单 301,697 / 有效 148,659 / 客单价 50.64</t>
        </is>
      </c>
    </row>
    <row r="9">
      <c r="A9" s="4" t="inlineStr">
        <is>
          <t>游戏总下载量</t>
        </is>
      </c>
      <c r="B9" s="5" t="n">
        <v>4252320</v>
      </c>
      <c r="C9" s="2" t="inlineStr"/>
    </row>
    <row r="10">
      <c r="A10" s="4" t="inlineStr">
        <is>
          <t>总充值 G 点</t>
        </is>
      </c>
      <c r="B10" s="5" t="n">
        <v>82377968</v>
      </c>
      <c r="C10" s="2" t="inlineStr">
        <is>
          <t>含赠送 2,584,663；结余 9,316,518</t>
        </is>
      </c>
    </row>
    <row r="11">
      <c r="A11" s="4" t="inlineStr">
        <is>
          <t>总消费 G 点</t>
        </is>
      </c>
      <c r="B11" s="5" t="n">
        <v>75646113</v>
      </c>
      <c r="C11" s="2" t="inlineStr"/>
    </row>
    <row r="12">
      <c r="A12" s="4" t="inlineStr">
        <is>
          <t>G 点结余</t>
        </is>
      </c>
      <c r="B12" s="5" t="n">
        <v>9316518</v>
      </c>
      <c r="C12" s="2" t="inlineStr">
        <is>
          <t>健康度：充消比 ≈ 109%</t>
        </is>
      </c>
    </row>
    <row r="14">
      <c r="A14" s="3" t="inlineStr">
        <is>
          <t>二、关键 KPI（近 30 天 vs 上一周期 / 数据源：系统统计-报表）</t>
        </is>
      </c>
    </row>
    <row r="16">
      <c r="A16" s="6" t="inlineStr">
        <is>
          <t>指标</t>
        </is>
      </c>
      <c r="B16" s="6" t="inlineStr">
        <is>
          <t>近 7 天</t>
        </is>
      </c>
      <c r="C16" s="6" t="inlineStr">
        <is>
          <t>近 30 天</t>
        </is>
      </c>
      <c r="D16" s="6" t="inlineStr">
        <is>
          <t>昨日(5/27)</t>
        </is>
      </c>
      <c r="E16" s="6" t="inlineStr">
        <is>
          <t>说明</t>
        </is>
      </c>
    </row>
    <row r="17">
      <c r="A17" s="4" t="inlineStr">
        <is>
          <t>总充值（元）</t>
        </is>
      </c>
      <c r="B17" s="7">
        <f>SUM('日明细30天'!E5:E11)</f>
        <v/>
      </c>
      <c r="C17" s="7">
        <f>SUM('日明细30天'!E5:E34)</f>
        <v/>
      </c>
      <c r="D17" s="7">
        <f>'日明细30天'!E5</f>
        <v/>
      </c>
    </row>
    <row r="18">
      <c r="A18" s="4" t="inlineStr">
        <is>
          <t>总订单数</t>
        </is>
      </c>
      <c r="B18" s="7">
        <f>SUM('日明细30天'!L5:L11)</f>
        <v/>
      </c>
      <c r="C18" s="7">
        <f>SUM('日明细30天'!L5:L34)</f>
        <v/>
      </c>
      <c r="D18" s="7">
        <f>'日明细30天'!L5</f>
        <v/>
      </c>
    </row>
    <row r="19">
      <c r="A19" s="4" t="inlineStr">
        <is>
          <t>有效订单数</t>
        </is>
      </c>
      <c r="B19" s="7">
        <f>SUM('日明细30天'!M5:M11)</f>
        <v/>
      </c>
      <c r="C19" s="7">
        <f>SUM('日明细30天'!M5:M34)</f>
        <v/>
      </c>
      <c r="D19" s="7">
        <f>'日明细30天'!M5</f>
        <v/>
      </c>
    </row>
    <row r="20">
      <c r="A20" s="4" t="inlineStr">
        <is>
          <t>退款金额</t>
        </is>
      </c>
      <c r="B20" s="7">
        <f>SUM('日明细30天'!F5:F11)</f>
        <v/>
      </c>
      <c r="C20" s="7">
        <f>SUM('日明细30天'!F5:F34)</f>
        <v/>
      </c>
      <c r="D20" s="7">
        <f>'日明细30天'!F5</f>
        <v/>
      </c>
    </row>
    <row r="21">
      <c r="A21" s="4" t="inlineStr">
        <is>
          <t>日活（平均）</t>
        </is>
      </c>
      <c r="B21" s="7">
        <f>AVERAGE('日明细30天'!B5:B11)</f>
        <v/>
      </c>
      <c r="C21" s="7">
        <f>AVERAGE('日明细30天'!B5:B34)</f>
        <v/>
      </c>
      <c r="D21" s="7">
        <f>'日明细30天'!B5</f>
        <v/>
      </c>
      <c r="E21" s="2" t="inlineStr">
        <is>
          <t>近7/30天为日均</t>
        </is>
      </c>
    </row>
    <row r="22">
      <c r="A22" s="4" t="inlineStr">
        <is>
          <t>注册</t>
        </is>
      </c>
      <c r="B22" s="7">
        <f>SUM('日明细30天'!C5:C11)</f>
        <v/>
      </c>
      <c r="C22" s="7">
        <f>SUM('日明细30天'!C5:C34)</f>
        <v/>
      </c>
      <c r="D22" s="7">
        <f>'日明细30天'!C5</f>
        <v/>
      </c>
    </row>
    <row r="23">
      <c r="A23" s="4" t="inlineStr">
        <is>
          <t>新注册付费人数</t>
        </is>
      </c>
      <c r="B23" s="7">
        <f>SUM('日明细30天'!H5:H11)</f>
        <v/>
      </c>
      <c r="C23" s="7">
        <f>SUM('日明细30天'!H5:H34)</f>
        <v/>
      </c>
      <c r="D23" s="7">
        <f>'日明细30天'!H5</f>
        <v/>
      </c>
    </row>
    <row r="26">
      <c r="A26" s="3" t="inlineStr">
        <is>
          <t>三、阶段建议</t>
        </is>
      </c>
    </row>
    <row r="28">
      <c r="A28" s="8" t="inlineStr">
        <is>
          <t>🔴 P0 - 优先处理：</t>
        </is>
      </c>
    </row>
    <row r="29">
      <c r="A29" s="8" t="inlineStr">
        <is>
          <t xml:space="preserve">  • 修「日活统计」页 bug（所有日期范围无数据）→ 留存看板的根基</t>
        </is>
      </c>
    </row>
    <row r="30">
      <c r="A30" s="8" t="inlineStr">
        <is>
          <t xml:space="preserve">  • 让技术补「付费分层 5 档」（小R/中R/大R/超R/鲸鱼R）</t>
        </is>
      </c>
    </row>
    <row r="31">
      <c r="A31" s="8" t="inlineStr">
        <is>
          <t xml:space="preserve">  • 平台维度 LTV/留存（当前只有按游戏，需聚合）</t>
        </is>
      </c>
    </row>
    <row r="32">
      <c r="A32" s="8" t="inlineStr"/>
    </row>
    <row r="33">
      <c r="A33" s="8" t="inlineStr">
        <is>
          <t>🟡 P1 - 派生指标：</t>
        </is>
      </c>
    </row>
    <row r="34">
      <c r="A34" s="8" t="inlineStr">
        <is>
          <t xml:space="preserve">  • 复购率（订单管理已有原始数据，需技术聚合）</t>
        </is>
      </c>
    </row>
    <row r="35">
      <c r="A35" s="8" t="inlineStr">
        <is>
          <t xml:space="preserve">  • WAU/MAU 严格去重口径</t>
        </is>
      </c>
    </row>
    <row r="36">
      <c r="A36" s="8" t="inlineStr">
        <is>
          <t xml:space="preserve">  • 沉睡/苏醒付费用户标签</t>
        </is>
      </c>
    </row>
    <row r="37">
      <c r="A37" s="8" t="inlineStr"/>
    </row>
    <row r="38">
      <c r="A38" s="8" t="inlineStr">
        <is>
          <t>🟢 已直接可用：</t>
        </is>
      </c>
    </row>
    <row r="39">
      <c r="A39" s="8" t="inlineStr">
        <is>
          <t xml:space="preserve">  • 系统统计-报表 14 字段全（含退款"投诉扣款"+ 新vs留存付费拆分）</t>
        </is>
      </c>
    </row>
    <row r="40">
      <c r="A40" s="8" t="inlineStr">
        <is>
          <t xml:space="preserve">  • 套餐统计完整漏斗 + G点档位 + 会员套餐</t>
        </is>
      </c>
    </row>
    <row r="41">
      <c r="A41" s="8" t="inlineStr">
        <is>
          <t xml:space="preserve">  • 游戏统计/网游运营统计 单游戏数据</t>
        </is>
      </c>
    </row>
    <row r="42">
      <c r="A42" s="8" t="inlineStr">
        <is>
          <t xml:space="preserve">  • 网游注册留存/LTV D1-D7+D14+D30 九档</t>
        </is>
      </c>
    </row>
    <row r="43">
      <c r="A43" s="8" t="inlineStr">
        <is>
          <t xml:space="preserve">  • 渠道统计完整分渠道数据</t>
        </is>
      </c>
    </row>
  </sheetData>
  <mergeCells count="28">
    <mergeCell ref="C10:H10"/>
    <mergeCell ref="A30:H30"/>
    <mergeCell ref="A39:H39"/>
    <mergeCell ref="C9:H9"/>
    <mergeCell ref="A36:H36"/>
    <mergeCell ref="A1:H1"/>
    <mergeCell ref="C12:H12"/>
    <mergeCell ref="C11:H11"/>
    <mergeCell ref="A41:H41"/>
    <mergeCell ref="C8:H8"/>
    <mergeCell ref="A37:H37"/>
    <mergeCell ref="C7:H7"/>
    <mergeCell ref="A26:H26"/>
    <mergeCell ref="A2:H2"/>
    <mergeCell ref="A42:H42"/>
    <mergeCell ref="A33:H33"/>
    <mergeCell ref="A14:H14"/>
    <mergeCell ref="A32:H32"/>
    <mergeCell ref="A40:H40"/>
    <mergeCell ref="A4:H4"/>
    <mergeCell ref="C6:H6"/>
    <mergeCell ref="A29:H29"/>
    <mergeCell ref="A35:H35"/>
    <mergeCell ref="A43:H43"/>
    <mergeCell ref="A38:H38"/>
    <mergeCell ref="A28:H28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35" customWidth="1" min="4" max="4"/>
    <col width="40" customWidth="1" min="5" max="5"/>
    <col width="10" customWidth="1" min="6" max="6"/>
  </cols>
  <sheetData>
    <row r="1">
      <c r="A1" s="3" t="inlineStr">
        <is>
          <t>指标口径与后台位置映射表</t>
        </is>
      </c>
    </row>
    <row r="2">
      <c r="A2" s="2" t="inlineStr">
        <is>
          <t>说明：✅ 直接可见 | ⚙️ 派生可算 | 🔧 待技术 | ⚠️ Bug / 权限</t>
        </is>
      </c>
    </row>
    <row r="4">
      <c r="A4" s="9" t="inlineStr">
        <is>
          <t>板块</t>
        </is>
      </c>
      <c r="B4" s="9" t="inlineStr">
        <is>
          <t>指标</t>
        </is>
      </c>
      <c r="C4" s="9" t="inlineStr">
        <is>
          <t>后台状态</t>
        </is>
      </c>
      <c r="D4" s="9" t="inlineStr">
        <is>
          <t>后台位置（已验证）</t>
        </is>
      </c>
      <c r="E4" s="9" t="inlineStr">
        <is>
          <t>取数说明</t>
        </is>
      </c>
      <c r="F4" s="9" t="inlineStr">
        <is>
          <t>优先级</t>
        </is>
      </c>
    </row>
    <row r="5">
      <c r="A5" s="10" t="inlineStr">
        <is>
          <t>✅直接可见</t>
        </is>
      </c>
      <c r="B5" s="10" t="inlineStr">
        <is>
          <t>系统统计&gt;系统统计&gt;"会员总数"卡片</t>
        </is>
      </c>
      <c r="C5" s="10" t="inlineStr">
        <is>
          <t>主数字 5</t>
        </is>
      </c>
      <c r="D5" s="10" t="inlineStr">
        <is>
          <t>612</t>
        </is>
      </c>
      <c r="E5" s="10" t="inlineStr">
        <is>
          <t>182</t>
        </is>
      </c>
      <c r="F5" s="10" t="inlineStr">
        <is>
          <t>P0</t>
        </is>
      </c>
    </row>
    <row r="6">
      <c r="A6" s="10" t="inlineStr">
        <is>
          <t>✅直接可见</t>
        </is>
      </c>
      <c r="B6" s="10" t="inlineStr">
        <is>
          <t>系统统计&gt;系统统计&gt;"会员总数"卡片副文本</t>
        </is>
      </c>
      <c r="C6" s="10" t="inlineStr">
        <is>
          <t>付费人数:80,375</t>
        </is>
      </c>
      <c r="D6" s="10" t="inlineStr">
        <is>
          <t>P0</t>
        </is>
      </c>
      <c r="E6" s="10" t="n">
        <v/>
      </c>
      <c r="F6" s="10" t="n">
        <v/>
      </c>
    </row>
    <row r="7">
      <c r="A7" s="10" t="inlineStr">
        <is>
          <t>✅直接可见</t>
        </is>
      </c>
      <c r="B7" s="10" t="inlineStr">
        <is>
          <t>系统统计&gt;系统统计&gt;"游戏总消费G点"卡片副文本</t>
        </is>
      </c>
      <c r="C7" s="10" t="inlineStr">
        <is>
          <t>G点充值总额:82,377,968</t>
        </is>
      </c>
      <c r="D7" s="10" t="inlineStr">
        <is>
          <t>P0</t>
        </is>
      </c>
      <c r="E7" s="10" t="n">
        <v/>
      </c>
      <c r="F7" s="10" t="n">
        <v/>
      </c>
    </row>
    <row r="8">
      <c r="A8" s="10" t="inlineStr">
        <is>
          <t>✅直接可见</t>
        </is>
      </c>
      <c r="B8" s="10" t="inlineStr">
        <is>
          <t>系统统计&gt;系统统计&gt;"游戏总消费G点"卡片主数字</t>
        </is>
      </c>
      <c r="C8" s="10" t="inlineStr">
        <is>
          <t>75</t>
        </is>
      </c>
      <c r="D8" s="10" t="inlineStr">
        <is>
          <t>646</t>
        </is>
      </c>
      <c r="E8" s="10" t="inlineStr">
        <is>
          <t>113</t>
        </is>
      </c>
      <c r="F8" s="10" t="inlineStr">
        <is>
          <t>P0</t>
        </is>
      </c>
    </row>
    <row r="9">
      <c r="A9" s="10" t="inlineStr">
        <is>
          <t>✅直接可见</t>
        </is>
      </c>
      <c r="B9" s="10" t="inlineStr">
        <is>
          <t>系统统计&gt;系统统计&gt;"游戏总消费G点"卡片副文本</t>
        </is>
      </c>
      <c r="C9" s="10" t="inlineStr">
        <is>
          <t>G点结余:9,316,518</t>
        </is>
      </c>
      <c r="D9" s="10" t="inlineStr">
        <is>
          <t>P0</t>
        </is>
      </c>
      <c r="E9" s="10" t="n">
        <v/>
      </c>
      <c r="F9" s="10" t="n">
        <v/>
      </c>
    </row>
    <row r="10">
      <c r="A10" s="10" t="inlineStr">
        <is>
          <t>⚙️派生可算</t>
        </is>
      </c>
      <c r="B10" s="10" t="inlineStr">
        <is>
          <t>系统统计&gt;系统统计</t>
        </is>
      </c>
      <c r="C10" s="10" t="inlineStr">
        <is>
          <t>付费人数 / 会员总数</t>
        </is>
      </c>
      <c r="D10" s="10" t="inlineStr">
        <is>
          <t>P0</t>
        </is>
      </c>
      <c r="E10" s="10" t="n">
        <v/>
      </c>
      <c r="F10" s="10" t="n">
        <v/>
      </c>
    </row>
    <row r="11">
      <c r="A11" s="10" t="inlineStr">
        <is>
          <t>⚙️派生可算</t>
        </is>
      </c>
      <c r="B11" s="10" t="inlineStr">
        <is>
          <t>系统统计-报表</t>
        </is>
      </c>
      <c r="C11" s="10" t="inlineStr">
        <is>
          <t>(注册付费人数+留存付费人数) / 日活，按日</t>
        </is>
      </c>
      <c r="D11" s="10" t="inlineStr">
        <is>
          <t>P0</t>
        </is>
      </c>
      <c r="E11" s="10" t="n">
        <v/>
      </c>
      <c r="F11" s="10" t="n">
        <v/>
      </c>
    </row>
    <row r="12">
      <c r="A12" s="10" t="inlineStr">
        <is>
          <t>⚙️派生可算</t>
        </is>
      </c>
      <c r="B12" s="10" t="inlineStr">
        <is>
          <t>系统统计-报表</t>
        </is>
      </c>
      <c r="C12" s="10" t="inlineStr">
        <is>
          <t>(注册付费金额+留存付费金额) / 日活，按日</t>
        </is>
      </c>
      <c r="D12" s="10" t="inlineStr">
        <is>
          <t>P0</t>
        </is>
      </c>
      <c r="E12" s="10" t="n">
        <v/>
      </c>
      <c r="F12" s="10" t="n">
        <v/>
      </c>
    </row>
    <row r="13">
      <c r="A13" s="10" t="inlineStr">
        <is>
          <t>✅直接可见</t>
        </is>
      </c>
      <c r="B13" s="10" t="inlineStr">
        <is>
          <t>系统统计&gt;系统统计&gt;"充值"卡片副文本</t>
        </is>
      </c>
      <c r="C13" s="10" t="inlineStr">
        <is>
          <t>单价字段（已有 50.64/59.64/61.02 等）</t>
        </is>
      </c>
      <c r="D13" s="10" t="inlineStr">
        <is>
          <t>P0</t>
        </is>
      </c>
      <c r="E13" s="10" t="n">
        <v/>
      </c>
      <c r="F13" s="10" t="n">
        <v/>
      </c>
    </row>
    <row r="14">
      <c r="A14" s="10" t="inlineStr">
        <is>
          <t>✅直接可见</t>
        </is>
      </c>
      <c r="B14" s="10" t="inlineStr">
        <is>
          <t>系统统计&gt;系统统计&gt;"充值"卡片副文本</t>
        </is>
      </c>
      <c r="C14" s="10" t="inlineStr">
        <is>
          <t>同 ARPPU 字段（实质就是订单平均金额）</t>
        </is>
      </c>
      <c r="D14" s="10" t="inlineStr">
        <is>
          <t>P0</t>
        </is>
      </c>
      <c r="E14" s="10" t="n">
        <v/>
      </c>
      <c r="F14" s="10" t="n">
        <v/>
      </c>
    </row>
    <row r="15">
      <c r="A15" s="10" t="inlineStr">
        <is>
          <t>⚠️间接</t>
        </is>
      </c>
      <c r="B15" s="10" t="inlineStr">
        <is>
          <t>系统统计-报表</t>
        </is>
      </c>
      <c r="C15" s="10" t="inlineStr">
        <is>
          <t>今日还没结算时无值；可临时用今日充值卡的订单人数近似</t>
        </is>
      </c>
      <c r="D15" s="10" t="inlineStr">
        <is>
          <t>P0</t>
        </is>
      </c>
      <c r="E15" s="10" t="n">
        <v/>
      </c>
      <c r="F15" s="10" t="n">
        <v/>
      </c>
    </row>
    <row r="16">
      <c r="A16" s="10" t="inlineStr">
        <is>
          <t>✅直接可见</t>
        </is>
      </c>
      <c r="B16" s="10" t="inlineStr">
        <is>
          <t>系统统计&gt;系统统计&gt;"今日注册"卡片</t>
        </is>
      </c>
      <c r="C16" s="10" t="inlineStr">
        <is>
          <t>16218（更新时间 05-28 18:00）</t>
        </is>
      </c>
      <c r="D16" s="10" t="inlineStr">
        <is>
          <t>P0</t>
        </is>
      </c>
      <c r="E16" s="10" t="n">
        <v/>
      </c>
      <c r="F16" s="10" t="n">
        <v/>
      </c>
    </row>
    <row r="17">
      <c r="A17" s="10" t="inlineStr">
        <is>
          <t>⚠️间接</t>
        </is>
      </c>
      <c r="B17" s="10" t="inlineStr">
        <is>
          <t>系统统计&gt;系统统计&gt;"今日充值"卡片</t>
        </is>
      </c>
      <c r="C17" s="10" t="inlineStr">
        <is>
          <t>卡里"总订单数1391"是订单数不是UV；UV需技术加</t>
        </is>
      </c>
      <c r="D17" s="10" t="inlineStr">
        <is>
          <t>P0</t>
        </is>
      </c>
      <c r="E17" s="10" t="n">
        <v/>
      </c>
      <c r="F17" s="10" t="n">
        <v/>
      </c>
    </row>
    <row r="18">
      <c r="A18" s="10" t="inlineStr">
        <is>
          <t>✅直接可见</t>
        </is>
      </c>
      <c r="B18" s="10" t="inlineStr">
        <is>
          <t>系统统计&gt;系统统计&gt;"今日游戏消费G点"卡片副文本</t>
        </is>
      </c>
      <c r="C18" s="10" t="inlineStr">
        <is>
          <t>G点充值总额:466,837</t>
        </is>
      </c>
      <c r="D18" s="10" t="inlineStr">
        <is>
          <t>P0</t>
        </is>
      </c>
      <c r="E18" s="10" t="n">
        <v/>
      </c>
      <c r="F18" s="10" t="n">
        <v/>
      </c>
    </row>
    <row r="19">
      <c r="A19" s="10" t="inlineStr">
        <is>
          <t>✅直接可见</t>
        </is>
      </c>
      <c r="B19" s="10" t="inlineStr">
        <is>
          <t>系统统计&gt;系统统计&gt;"今日游戏消费G点"卡片主数字</t>
        </is>
      </c>
      <c r="C19" s="10" t="inlineStr">
        <is>
          <t>620</t>
        </is>
      </c>
      <c r="D19" s="10" t="inlineStr">
        <is>
          <t>681</t>
        </is>
      </c>
      <c r="E19" s="10" t="inlineStr">
        <is>
          <t>P0</t>
        </is>
      </c>
      <c r="F19" s="10" t="n">
        <v/>
      </c>
    </row>
    <row r="20">
      <c r="A20" s="10" t="inlineStr">
        <is>
          <t>⚙️派生可算</t>
        </is>
      </c>
      <c r="B20" s="10" t="inlineStr">
        <is>
          <t>系统统计-报表</t>
        </is>
      </c>
      <c r="C20" s="10" t="inlineStr">
        <is>
          <t>总充值 - 网游消费（需技术明确口径）</t>
        </is>
      </c>
      <c r="D20" s="10" t="inlineStr">
        <is>
          <t>P0</t>
        </is>
      </c>
      <c r="E20" s="10" t="n">
        <v/>
      </c>
      <c r="F20" s="10" t="n">
        <v/>
      </c>
    </row>
    <row r="21">
      <c r="A21" s="10" t="inlineStr">
        <is>
          <t>✅直接可见</t>
        </is>
      </c>
      <c r="B21" s="10" t="inlineStr">
        <is>
          <t>网络游戏运营统计&gt;当日加总</t>
        </is>
      </c>
      <c r="C21" s="10" t="inlineStr">
        <is>
          <t>可按日期搜+导出</t>
        </is>
      </c>
      <c r="D21" s="10" t="inlineStr">
        <is>
          <t>P0</t>
        </is>
      </c>
      <c r="E21" s="10" t="n">
        <v/>
      </c>
      <c r="F21" s="10" t="n">
        <v/>
      </c>
    </row>
    <row r="22">
      <c r="A22" s="10" t="inlineStr">
        <is>
          <t>✅直接可见</t>
        </is>
      </c>
      <c r="B22" s="10" t="inlineStr">
        <is>
          <t>系统统计&gt;系统统计&gt;"今日游戏下载数量"卡片</t>
        </is>
      </c>
      <c r="C22" s="10" t="inlineStr">
        <is>
          <t>14630</t>
        </is>
      </c>
      <c r="D22" s="10" t="inlineStr">
        <is>
          <t>P0</t>
        </is>
      </c>
      <c r="E22" s="10" t="n">
        <v/>
      </c>
      <c r="F22" s="10" t="n">
        <v/>
      </c>
    </row>
    <row r="23">
      <c r="A23" s="10" t="inlineStr">
        <is>
          <t>✅直接可见</t>
        </is>
      </c>
      <c r="B23" s="10" t="inlineStr">
        <is>
          <t>网络游戏运营统计&gt;当日"新增账号"加总</t>
        </is>
      </c>
      <c r="C23" s="10" t="inlineStr">
        <is>
          <t>可按日期搜+导出</t>
        </is>
      </c>
      <c r="D23" s="10" t="inlineStr">
        <is>
          <t>P0</t>
        </is>
      </c>
      <c r="E23" s="10" t="n">
        <v/>
      </c>
      <c r="F23" s="10" t="n">
        <v/>
      </c>
    </row>
    <row r="24">
      <c r="A24" s="10" t="inlineStr">
        <is>
          <t>✅直接可见</t>
        </is>
      </c>
      <c r="B24" s="10" t="inlineStr">
        <is>
          <t>网络游戏运营统计&gt;当日"当日付费账号"加总</t>
        </is>
      </c>
      <c r="C24" s="10" t="inlineStr">
        <is>
          <t>可按日期搜+导出</t>
        </is>
      </c>
      <c r="D24" s="10" t="inlineStr">
        <is>
          <t>P0</t>
        </is>
      </c>
      <c r="E24" s="10" t="n">
        <v/>
      </c>
      <c r="F24" s="10" t="n">
        <v/>
      </c>
    </row>
    <row r="25">
      <c r="A25" s="10" t="inlineStr">
        <is>
          <t>✅直接可见</t>
        </is>
      </c>
      <c r="B25" s="10" t="inlineStr">
        <is>
          <t>系统统计-报表&gt;"日活"列</t>
        </is>
      </c>
      <c r="C25" s="10" t="inlineStr">
        <is>
          <t>按日，55453/78340/77011 等</t>
        </is>
      </c>
      <c r="D25" s="10" t="inlineStr">
        <is>
          <t>P0</t>
        </is>
      </c>
      <c r="E25" s="10" t="n">
        <v/>
      </c>
      <c r="F25" s="10" t="n">
        <v/>
      </c>
    </row>
    <row r="26">
      <c r="A26" s="10" t="inlineStr">
        <is>
          <t>🔧待技术</t>
        </is>
      </c>
      <c r="B26" s="10" t="inlineStr">
        <is>
          <t>系统统计-报表</t>
        </is>
      </c>
      <c r="C26" s="10" t="inlineStr">
        <is>
          <t>需技术补"7日去重活跃UV"（不是日活累加）</t>
        </is>
      </c>
      <c r="D26" s="10" t="inlineStr">
        <is>
          <t>P0</t>
        </is>
      </c>
      <c r="E26" s="10" t="n">
        <v/>
      </c>
      <c r="F26" s="10" t="n">
        <v/>
      </c>
    </row>
    <row r="27">
      <c r="A27" s="10" t="inlineStr">
        <is>
          <t>🔧待技术</t>
        </is>
      </c>
      <c r="B27" s="10" t="inlineStr">
        <is>
          <t>系统统计-报表</t>
        </is>
      </c>
      <c r="C27" s="10" t="inlineStr">
        <is>
          <t>需技术补"30日去重活跃UV"</t>
        </is>
      </c>
      <c r="D27" s="10" t="inlineStr">
        <is>
          <t>P0</t>
        </is>
      </c>
      <c r="E27" s="10" t="n">
        <v/>
      </c>
      <c r="F27" s="10" t="n">
        <v/>
      </c>
    </row>
    <row r="28">
      <c r="A28" s="10" t="inlineStr">
        <is>
          <t>✅直接可见</t>
        </is>
      </c>
      <c r="B28" s="10" t="inlineStr">
        <is>
          <t>系统统计-报表&gt;"注册付费人数"列</t>
        </is>
      </c>
      <c r="C28" s="10" t="inlineStr">
        <is>
          <t>按日，110/351/303 等</t>
        </is>
      </c>
      <c r="D28" s="10" t="inlineStr">
        <is>
          <t>P0</t>
        </is>
      </c>
      <c r="E28" s="10" t="n">
        <v/>
      </c>
      <c r="F28" s="10" t="n">
        <v/>
      </c>
    </row>
    <row r="29">
      <c r="A29" s="10" t="inlineStr">
        <is>
          <t>🔧待技术</t>
        </is>
      </c>
      <c r="B29" s="10" t="inlineStr">
        <is>
          <t>用户列表+订单管理</t>
        </is>
      </c>
      <c r="C29" s="10" t="inlineStr">
        <is>
          <t>用户已有"累计充值"字段(评论列表里也可见)；需技术按累计金额分档打标签</t>
        </is>
      </c>
      <c r="D29" s="10" t="inlineStr">
        <is>
          <t>P0</t>
        </is>
      </c>
      <c r="E29" s="10" t="n">
        <v/>
      </c>
      <c r="F29" s="10" t="n">
        <v/>
      </c>
    </row>
    <row r="30">
      <c r="A30" s="10" t="inlineStr">
        <is>
          <t>🔧待技术</t>
        </is>
      </c>
      <c r="B30" s="10" t="inlineStr">
        <is>
          <t>同上</t>
        </is>
      </c>
      <c r="C30" s="10" t="inlineStr">
        <is>
          <t>同上</t>
        </is>
      </c>
      <c r="D30" s="10" t="inlineStr">
        <is>
          <t>P0</t>
        </is>
      </c>
      <c r="E30" s="10" t="n">
        <v/>
      </c>
      <c r="F30" s="10" t="n">
        <v/>
      </c>
    </row>
    <row r="31">
      <c r="A31" s="10" t="inlineStr">
        <is>
          <t>🔧待技术</t>
        </is>
      </c>
      <c r="B31" s="10" t="inlineStr">
        <is>
          <t>同上</t>
        </is>
      </c>
      <c r="C31" s="10" t="inlineStr">
        <is>
          <t>同上</t>
        </is>
      </c>
      <c r="D31" s="10" t="inlineStr">
        <is>
          <t>P0</t>
        </is>
      </c>
      <c r="E31" s="10" t="n">
        <v/>
      </c>
      <c r="F31" s="10" t="n">
        <v/>
      </c>
    </row>
    <row r="32">
      <c r="A32" s="10" t="inlineStr">
        <is>
          <t>🔧待技术</t>
        </is>
      </c>
      <c r="B32" s="10" t="inlineStr">
        <is>
          <t>同上</t>
        </is>
      </c>
      <c r="C32" s="10" t="inlineStr">
        <is>
          <t>同上，重点单独监控</t>
        </is>
      </c>
      <c r="D32" s="10" t="inlineStr">
        <is>
          <t>P0</t>
        </is>
      </c>
      <c r="E32" s="10" t="n">
        <v/>
      </c>
      <c r="F32" s="10" t="n">
        <v/>
      </c>
    </row>
    <row r="33">
      <c r="A33" s="10" t="inlineStr">
        <is>
          <t>🔧待技术</t>
        </is>
      </c>
      <c r="B33" s="10" t="inlineStr">
        <is>
          <t>同上</t>
        </is>
      </c>
      <c r="C33" s="10" t="inlineStr">
        <is>
          <t>同上</t>
        </is>
      </c>
      <c r="D33" s="10" t="inlineStr">
        <is>
          <t>P0</t>
        </is>
      </c>
      <c r="E33" s="10" t="n">
        <v/>
      </c>
      <c r="F33" s="10" t="n">
        <v/>
      </c>
    </row>
    <row r="34">
      <c r="A34" s="10" t="inlineStr">
        <is>
          <t>⚙️派生可算</t>
        </is>
      </c>
      <c r="B34" s="10" t="inlineStr">
        <is>
          <t>系统统计-报表&gt;"注册付费人数"/"注册"</t>
        </is>
      </c>
      <c r="C34" s="10" t="inlineStr">
        <is>
          <t>已有当日口径；1/3/7天窗口需技术补</t>
        </is>
      </c>
      <c r="D34" s="10" t="inlineStr">
        <is>
          <t>P0</t>
        </is>
      </c>
      <c r="E34" s="10" t="n">
        <v/>
      </c>
      <c r="F34" s="10" t="n">
        <v/>
      </c>
    </row>
    <row r="35">
      <c r="A35" s="10" t="inlineStr">
        <is>
          <t>🔧待技术</t>
        </is>
      </c>
      <c r="B35" s="10" t="inlineStr">
        <is>
          <t>订单管理</t>
        </is>
      </c>
      <c r="C35" s="10" t="inlineStr">
        <is>
          <t>需技术按用户去重次数统计</t>
        </is>
      </c>
      <c r="D35" s="10" t="inlineStr">
        <is>
          <t>P0</t>
        </is>
      </c>
      <c r="E35" s="10" t="n">
        <v/>
      </c>
      <c r="F35" s="10" t="n">
        <v/>
      </c>
    </row>
    <row r="36">
      <c r="A36" s="10" t="inlineStr">
        <is>
          <t>⚙️派生可算</t>
        </is>
      </c>
      <c r="B36" s="10" t="inlineStr">
        <is>
          <t>系统统计-报表 + 套餐统计&gt;会员套餐</t>
        </is>
      </c>
      <c r="C36" s="10" t="inlineStr">
        <is>
          <t>会员金额从套餐统计取</t>
        </is>
      </c>
      <c r="D36" s="10" t="inlineStr">
        <is>
          <t>P0</t>
        </is>
      </c>
      <c r="E36" s="10" t="n">
        <v/>
      </c>
      <c r="F36" s="10" t="n">
        <v/>
      </c>
    </row>
    <row r="37">
      <c r="A37" s="10" t="inlineStr">
        <is>
          <t>⚙️派生可算</t>
        </is>
      </c>
      <c r="B37" s="10" t="inlineStr">
        <is>
          <t>系统统计&gt;系统统计</t>
        </is>
      </c>
      <c r="C37" s="10" t="inlineStr">
        <is>
          <t>今日 G点充值总额 / 消耗G点 自己算</t>
        </is>
      </c>
      <c r="D37" s="10" t="inlineStr">
        <is>
          <t>P0</t>
        </is>
      </c>
      <c r="E37" s="10" t="n">
        <v/>
      </c>
      <c r="F37" s="10" t="n">
        <v/>
      </c>
    </row>
    <row r="38">
      <c r="A38" s="10" t="inlineStr">
        <is>
          <t>✅直接可见</t>
        </is>
      </c>
      <c r="B38" s="10" t="inlineStr">
        <is>
          <t>系统统计&gt;套餐统计（套餐类型筛"金币套餐"）</t>
        </is>
      </c>
      <c r="C38" s="10" t="inlineStr">
        <is>
          <t>Gcoin-648/328/128/99新人 等档位 + 点击/下单/成功 完整漏斗</t>
        </is>
      </c>
      <c r="D38" s="10" t="inlineStr">
        <is>
          <t>P1</t>
        </is>
      </c>
      <c r="E38" s="10" t="n">
        <v/>
      </c>
      <c r="F38" s="10" t="n">
        <v/>
      </c>
    </row>
    <row r="39">
      <c r="A39" s="10" t="inlineStr">
        <is>
          <t>✅直接可见</t>
        </is>
      </c>
      <c r="B39" s="10" t="inlineStr">
        <is>
          <t>系统统计-报表&gt;"投诉扣款订单金额"列</t>
        </is>
      </c>
      <c r="C39" s="10" t="inlineStr">
        <is>
          <t>已有；率 = 该列/充值金额</t>
        </is>
      </c>
      <c r="D39" s="10" t="inlineStr">
        <is>
          <t>P1</t>
        </is>
      </c>
      <c r="E39" s="10" t="n">
        <v/>
      </c>
      <c r="F39" s="10" t="n">
        <v/>
      </c>
    </row>
    <row r="40">
      <c r="A40" s="10" t="inlineStr">
        <is>
          <t>⚠️BUG</t>
        </is>
      </c>
      <c r="B40" s="10" t="inlineStr">
        <is>
          <t>系统统计&gt;日活统计</t>
        </is>
      </c>
      <c r="C40" s="10" t="inlineStr">
        <is>
          <t>⚠️整张表无数据，要技术修；网游单游戏次留在"网络游戏注册留存"D1列</t>
        </is>
      </c>
      <c r="D40" s="10" t="inlineStr">
        <is>
          <t>P0</t>
        </is>
      </c>
      <c r="E40" s="10" t="n">
        <v/>
      </c>
      <c r="F40" s="10" t="n">
        <v/>
      </c>
    </row>
    <row r="41">
      <c r="A41" s="10" t="inlineStr">
        <is>
          <t>⚠️BUG</t>
        </is>
      </c>
      <c r="B41" s="10" t="inlineStr">
        <is>
          <t>系统统计&gt;日活统计&gt;"3日活跃总数(留存)"列</t>
        </is>
      </c>
      <c r="C41" s="10" t="inlineStr">
        <is>
          <t>同上 bug；按游戏可看"网络游戏注册留存"D3</t>
        </is>
      </c>
      <c r="D41" s="10" t="inlineStr">
        <is>
          <t>P0</t>
        </is>
      </c>
      <c r="E41" s="10" t="n">
        <v/>
      </c>
      <c r="F41" s="10" t="n">
        <v/>
      </c>
    </row>
    <row r="42">
      <c r="A42" s="10" t="inlineStr">
        <is>
          <t>⚠️BUG</t>
        </is>
      </c>
      <c r="B42" s="10" t="inlineStr">
        <is>
          <t>系统统计&gt;日活统计&gt;"7日活跃总数(留存)"列</t>
        </is>
      </c>
      <c r="C42" s="10" t="inlineStr">
        <is>
          <t>同上 bug；按游戏可看"网络游戏注册留存"D7</t>
        </is>
      </c>
      <c r="D42" s="10" t="inlineStr">
        <is>
          <t>P0</t>
        </is>
      </c>
      <c r="E42" s="10" t="n">
        <v/>
      </c>
      <c r="F42" s="10" t="n">
        <v/>
      </c>
    </row>
    <row r="43">
      <c r="A43" s="10" t="inlineStr">
        <is>
          <t>⚠️BUG</t>
        </is>
      </c>
      <c r="B43" s="10" t="inlineStr">
        <is>
          <t>系统统计&gt;日活统计&gt;"30日活跃总数(留存)"列</t>
        </is>
      </c>
      <c r="C43" s="10" t="inlineStr">
        <is>
          <t>同上 bug；按游戏可看"网络游戏注册留存"D30</t>
        </is>
      </c>
      <c r="D43" s="10" t="inlineStr">
        <is>
          <t>P0</t>
        </is>
      </c>
      <c r="E43" s="10" t="n">
        <v/>
      </c>
      <c r="F43" s="10" t="n">
        <v/>
      </c>
    </row>
    <row r="44">
      <c r="A44" s="10" t="inlineStr">
        <is>
          <t>🔧待技术</t>
        </is>
      </c>
      <c r="B44" s="10" t="inlineStr">
        <is>
          <t>基于用户登录日志</t>
        </is>
      </c>
      <c r="C44" s="10" t="inlineStr">
        <is>
          <t>需技术建</t>
        </is>
      </c>
      <c r="D44" s="10" t="inlineStr">
        <is>
          <t>P1</t>
        </is>
      </c>
      <c r="E44" s="10" t="n">
        <v/>
      </c>
      <c r="F44" s="10" t="n">
        <v/>
      </c>
    </row>
    <row r="45">
      <c r="A45" s="10" t="inlineStr">
        <is>
          <t>🔧待技术</t>
        </is>
      </c>
      <c r="B45" s="10" t="inlineStr">
        <is>
          <t>基于用户登录日志</t>
        </is>
      </c>
      <c r="C45" s="10" t="inlineStr">
        <is>
          <t>需技术建</t>
        </is>
      </c>
      <c r="D45" s="10" t="inlineStr">
        <is>
          <t>P1</t>
        </is>
      </c>
      <c r="E45" s="10" t="n">
        <v/>
      </c>
      <c r="F45" s="10" t="n">
        <v/>
      </c>
    </row>
    <row r="46">
      <c r="A46" s="10" t="inlineStr">
        <is>
          <t>🔧待技术</t>
        </is>
      </c>
      <c r="B46" s="10" t="inlineStr">
        <is>
          <t>用户表 + 订单表</t>
        </is>
      </c>
      <c r="C46" s="10" t="inlineStr">
        <is>
          <t>需技术按"近1月未付费"+付费分层打标签</t>
        </is>
      </c>
      <c r="D46" s="10" t="inlineStr">
        <is>
          <t>P1</t>
        </is>
      </c>
      <c r="E46" s="10" t="n">
        <v/>
      </c>
      <c r="F46" s="10" t="n">
        <v/>
      </c>
    </row>
    <row r="47">
      <c r="A47" s="10" t="inlineStr">
        <is>
          <t>🔧待技术</t>
        </is>
      </c>
      <c r="B47" s="10" t="inlineStr">
        <is>
          <t>同上</t>
        </is>
      </c>
      <c r="C47" s="10" t="inlineStr">
        <is>
          <t>同上</t>
        </is>
      </c>
      <c r="D47" s="10" t="inlineStr">
        <is>
          <t>P1</t>
        </is>
      </c>
      <c r="E47" s="10" t="n">
        <v/>
      </c>
      <c r="F47" s="10" t="n">
        <v/>
      </c>
    </row>
    <row r="48">
      <c r="A48" s="10" t="inlineStr">
        <is>
          <t>✅直接可见</t>
        </is>
      </c>
      <c r="B48" s="10" t="inlineStr">
        <is>
          <t>系统统计&gt;网络游戏统计&gt;网络游戏注册LTV表&gt;D7消费LTV</t>
        </is>
      </c>
      <c r="C48" s="10" t="inlineStr">
        <is>
          <t>按游戏拆；平台口径需技术聚合</t>
        </is>
      </c>
      <c r="D48" s="10" t="inlineStr">
        <is>
          <t>P0</t>
        </is>
      </c>
      <c r="E48" s="10" t="n">
        <v/>
      </c>
      <c r="F48" s="10" t="n">
        <v/>
      </c>
    </row>
    <row r="49">
      <c r="A49" s="10" t="inlineStr">
        <is>
          <t>✅直接可见</t>
        </is>
      </c>
      <c r="B49" s="10" t="inlineStr">
        <is>
          <t>同上&gt;D14消费LTV</t>
        </is>
      </c>
      <c r="C49" s="10" t="inlineStr">
        <is>
          <t>同上</t>
        </is>
      </c>
      <c r="D49" s="10" t="inlineStr">
        <is>
          <t>P1</t>
        </is>
      </c>
      <c r="E49" s="10" t="n">
        <v/>
      </c>
      <c r="F49" s="10" t="n">
        <v/>
      </c>
    </row>
    <row r="50">
      <c r="A50" s="10" t="inlineStr">
        <is>
          <t>✅直接可见</t>
        </is>
      </c>
      <c r="B50" s="10" t="inlineStr">
        <is>
          <t>同上&gt;D30消费LTV</t>
        </is>
      </c>
      <c r="C50" s="10" t="inlineStr">
        <is>
          <t>同上</t>
        </is>
      </c>
      <c r="D50" s="10" t="inlineStr">
        <is>
          <t>P0</t>
        </is>
      </c>
      <c r="E50" s="10" t="n">
        <v/>
      </c>
      <c r="F50" s="10" t="n">
        <v/>
      </c>
    </row>
    <row r="51">
      <c r="A51" s="10" t="inlineStr">
        <is>
          <t>✅直接可见</t>
        </is>
      </c>
      <c r="B51" s="10" t="inlineStr">
        <is>
          <t>系统统计&gt;游戏统计&gt;按"充值金额"排序</t>
        </is>
      </c>
      <c r="C51" s="10" t="inlineStr">
        <is>
          <t>导出后做 TOP10 排行</t>
        </is>
      </c>
      <c r="D51" s="10" t="inlineStr">
        <is>
          <t>P1</t>
        </is>
      </c>
      <c r="E51" s="10" t="n">
        <v/>
      </c>
      <c r="F51" s="10" t="n">
        <v/>
      </c>
    </row>
    <row r="52">
      <c r="A52" s="10" t="inlineStr">
        <is>
          <t>✅直接可见</t>
        </is>
      </c>
      <c r="B52" s="10" t="inlineStr">
        <is>
          <t>系统统计&gt;网络游戏运营统计&gt;"新增付费率/活跃付费率/活跃ARPU"列</t>
        </is>
      </c>
      <c r="C52" s="10" t="inlineStr">
        <is>
          <t>按游戏拆，可导出</t>
        </is>
      </c>
      <c r="D52" s="10" t="inlineStr">
        <is>
          <t>P1</t>
        </is>
      </c>
      <c r="E52" s="10" t="n">
        <v/>
      </c>
      <c r="F52" s="10" t="n">
        <v/>
      </c>
    </row>
    <row r="53">
      <c r="A53" s="10" t="inlineStr">
        <is>
          <t>✅直接可见</t>
        </is>
      </c>
      <c r="B53" s="10" t="inlineStr">
        <is>
          <t>系统统计&gt;系统统计&gt;"游戏总下载数量"卡片</t>
        </is>
      </c>
      <c r="C53" s="10" t="inlineStr">
        <is>
          <t>4</t>
        </is>
      </c>
      <c r="D53" s="10" t="inlineStr">
        <is>
          <t>252</t>
        </is>
      </c>
      <c r="E53" s="10" t="inlineStr">
        <is>
          <t>320</t>
        </is>
      </c>
      <c r="F53" s="10" t="inlineStr">
        <is>
          <t>P0</t>
        </is>
      </c>
    </row>
    <row r="54">
      <c r="A54" s="10" t="inlineStr">
        <is>
          <t>✅直接可见</t>
        </is>
      </c>
      <c r="B54" s="10" t="inlineStr">
        <is>
          <t>系统统计&gt;套餐统计（套餐类型筛"会员套餐"）</t>
        </is>
      </c>
      <c r="C54" s="10" t="inlineStr">
        <is>
          <t>月月新人卡/月月畅享卡 等档位</t>
        </is>
      </c>
      <c r="D54" s="10" t="inlineStr">
        <is>
          <t>P1</t>
        </is>
      </c>
      <c r="E54" s="10" t="n">
        <v/>
      </c>
      <c r="F54" s="10" t="n">
        <v/>
      </c>
    </row>
    <row r="55">
      <c r="A55" s="10" t="inlineStr">
        <is>
          <t>⚙️派生可算</t>
        </is>
      </c>
      <c r="B55" s="10" t="inlineStr">
        <is>
          <t>系统统计&gt;套餐统计 + 订单管理</t>
        </is>
      </c>
      <c r="C55" s="10" t="inlineStr">
        <is>
          <t>需筛同一用户连续多月会员订单</t>
        </is>
      </c>
      <c r="D55" s="10" t="inlineStr">
        <is>
          <t>P1</t>
        </is>
      </c>
      <c r="E55" s="10" t="n">
        <v/>
      </c>
      <c r="F55" s="10" t="n">
        <v/>
      </c>
    </row>
    <row r="56">
      <c r="A56" s="10" t="inlineStr">
        <is>
          <t>✅直接可见</t>
        </is>
      </c>
      <c r="B56" s="10" t="inlineStr">
        <is>
          <t>系统统计&gt;渠道统计</t>
        </is>
      </c>
      <c r="C56" s="10" t="inlineStr">
        <is>
          <t>渠道码：1021/1019/1011/recommend/bkxg18 等；同游戏统计字段</t>
        </is>
      </c>
      <c r="D56" s="10" t="inlineStr">
        <is>
          <t>P1</t>
        </is>
      </c>
      <c r="E56" s="10" t="n">
        <v/>
      </c>
      <c r="F56" s="10" t="n">
        <v/>
      </c>
    </row>
    <row r="57">
      <c r="A57" s="10" t="inlineStr">
        <is>
          <t>⚙️派生可算</t>
        </is>
      </c>
      <c r="B57" s="10" t="inlineStr">
        <is>
          <t>系统统计-报表&gt;"注册付费金额"vs"留存付费金额"</t>
        </is>
      </c>
      <c r="C57" s="10" t="inlineStr">
        <is>
          <t>已经拆好了 ✓ ✓ ✓</t>
        </is>
      </c>
      <c r="D57" s="10" t="inlineStr">
        <is>
          <t>P1</t>
        </is>
      </c>
      <c r="E57" s="10" t="n">
        <v/>
      </c>
      <c r="F57" s="10" t="n">
        <v/>
      </c>
    </row>
    <row r="58">
      <c r="A58" s="10" t="inlineStr">
        <is>
          <t>⚙️派生可算</t>
        </is>
      </c>
      <c r="B58" s="10" t="inlineStr">
        <is>
          <t>用户管理&gt;订单管理&gt;"支付通道ID"字段</t>
        </is>
      </c>
      <c r="C58" s="10" t="inlineStr">
        <is>
          <t>大白鯊-微信/大白鯊-支付宝等；可按通道分组</t>
        </is>
      </c>
      <c r="D58" s="10" t="inlineStr">
        <is>
          <t>P1</t>
        </is>
      </c>
      <c r="E58" s="10" t="n">
        <v/>
      </c>
      <c r="F58" s="10" t="n">
        <v/>
      </c>
    </row>
    <row r="59">
      <c r="A59" s="10" t="inlineStr">
        <is>
          <t>⚙️派生可算</t>
        </is>
      </c>
      <c r="B59" s="10" t="inlineStr">
        <is>
          <t>同上 + 订单状态</t>
        </is>
      </c>
      <c r="C59" s="10" t="inlineStr">
        <is>
          <t>有效订单/总订单（按通道分组）</t>
        </is>
      </c>
      <c r="D59" s="10" t="inlineStr">
        <is>
          <t>P1</t>
        </is>
      </c>
      <c r="E59" s="10" t="n">
        <v/>
      </c>
      <c r="F59" s="10" t="n"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6" customWidth="1" min="14" max="14"/>
    <col width="12" customWidth="1" min="15" max="15"/>
    <col width="12" customWidth="1" min="16" max="16"/>
    <col width="10" customWidth="1" min="17" max="17"/>
    <col width="14" customWidth="1" min="18" max="18"/>
    <col width="14" customWidth="1" min="19" max="19"/>
  </cols>
  <sheetData>
    <row r="1">
      <c r="A1" s="3" t="inlineStr">
        <is>
          <t>系统统计-报表（每日明细 2026-04-28 ~ 2026-05-27）</t>
        </is>
      </c>
    </row>
    <row r="2">
      <c r="A2" s="2" t="inlineStr">
        <is>
          <t>来源：系统统计 &gt; 系统统计-报表</t>
        </is>
      </c>
    </row>
    <row r="4">
      <c r="A4" s="9" t="inlineStr">
        <is>
          <t>日期</t>
        </is>
      </c>
      <c r="B4" s="9" t="inlineStr">
        <is>
          <t>日活</t>
        </is>
      </c>
      <c r="C4" s="9" t="inlineStr">
        <is>
          <t>注册</t>
        </is>
      </c>
      <c r="D4" s="9" t="inlineStr">
        <is>
          <t>下载数量</t>
        </is>
      </c>
      <c r="E4" s="9" t="inlineStr">
        <is>
          <t>充值金额</t>
        </is>
      </c>
      <c r="F4" s="9" t="inlineStr">
        <is>
          <t>投诉扣款订单金额</t>
        </is>
      </c>
      <c r="G4" s="9" t="inlineStr">
        <is>
          <t>消费G点</t>
        </is>
      </c>
      <c r="H4" s="9" t="inlineStr">
        <is>
          <t>注册付费人数</t>
        </is>
      </c>
      <c r="I4" s="9" t="inlineStr">
        <is>
          <t>注册付费金额</t>
        </is>
      </c>
      <c r="J4" s="9" t="inlineStr">
        <is>
          <t>留存付费人数</t>
        </is>
      </c>
      <c r="K4" s="9" t="inlineStr">
        <is>
          <t>留存付费金额</t>
        </is>
      </c>
      <c r="L4" s="9" t="inlineStr">
        <is>
          <t>总下单数</t>
        </is>
      </c>
      <c r="M4" s="9" t="inlineStr">
        <is>
          <t>有效订单数</t>
        </is>
      </c>
      <c r="O4" s="11" t="inlineStr">
        <is>
          <t>注册付费率%</t>
        </is>
      </c>
      <c r="P4" s="11" t="inlineStr">
        <is>
          <t>退款率%</t>
        </is>
      </c>
      <c r="Q4" s="11" t="inlineStr">
        <is>
          <t>客单价</t>
        </is>
      </c>
      <c r="R4" s="11" t="inlineStr">
        <is>
          <t>总付费金额</t>
        </is>
      </c>
      <c r="S4" s="11" t="inlineStr">
        <is>
          <t>总付费UV(估算)</t>
        </is>
      </c>
    </row>
    <row r="5">
      <c r="A5" s="12" t="inlineStr">
        <is>
          <t>2026-05-27</t>
        </is>
      </c>
      <c r="B5" s="7" t="n">
        <v>78340</v>
      </c>
      <c r="C5" s="7" t="n">
        <v>23912</v>
      </c>
      <c r="D5" s="7" t="n">
        <v>19211</v>
      </c>
      <c r="E5" s="7" t="n">
        <v>68282</v>
      </c>
      <c r="F5" s="7" t="n">
        <v>0</v>
      </c>
      <c r="G5" s="7" t="n">
        <v>610843</v>
      </c>
      <c r="H5" s="7" t="n">
        <v>351</v>
      </c>
      <c r="I5" s="7" t="n">
        <v>19164</v>
      </c>
      <c r="J5" s="7" t="n">
        <v>546</v>
      </c>
      <c r="K5" s="7" t="n">
        <v>49118</v>
      </c>
      <c r="L5" s="7" t="n">
        <v>2024</v>
      </c>
      <c r="M5" s="7" t="n">
        <v>1119</v>
      </c>
      <c r="O5" s="13">
        <f>H5/C5</f>
        <v/>
      </c>
      <c r="P5" s="13">
        <f>F5/E5</f>
        <v/>
      </c>
      <c r="Q5" s="14">
        <f>E5/L5</f>
        <v/>
      </c>
      <c r="R5" s="15">
        <f>I5+K5</f>
        <v/>
      </c>
      <c r="S5" s="15">
        <f>H5+J5</f>
        <v/>
      </c>
    </row>
    <row r="6">
      <c r="A6" s="12" t="inlineStr">
        <is>
          <t>2026-05-26</t>
        </is>
      </c>
      <c r="B6" s="7" t="n">
        <v>77011</v>
      </c>
      <c r="C6" s="7" t="n">
        <v>23650</v>
      </c>
      <c r="D6" s="7" t="n">
        <v>18701</v>
      </c>
      <c r="E6" s="7" t="n">
        <v>71074</v>
      </c>
      <c r="F6" s="7" t="n">
        <v>0</v>
      </c>
      <c r="G6" s="7" t="n">
        <v>682516</v>
      </c>
      <c r="H6" s="7" t="n">
        <v>303</v>
      </c>
      <c r="I6" s="7" t="n">
        <v>14246</v>
      </c>
      <c r="J6" s="7" t="n">
        <v>552</v>
      </c>
      <c r="K6" s="7" t="n">
        <v>56828</v>
      </c>
      <c r="L6" s="7" t="n">
        <v>2012</v>
      </c>
      <c r="M6" s="7" t="n">
        <v>1096</v>
      </c>
      <c r="O6" s="13">
        <f>H6/C6</f>
        <v/>
      </c>
      <c r="P6" s="13">
        <f>F6/E6</f>
        <v/>
      </c>
      <c r="Q6" s="14">
        <f>E6/L6</f>
        <v/>
      </c>
      <c r="R6" s="15">
        <f>I6+K6</f>
        <v/>
      </c>
      <c r="S6" s="15">
        <f>H6+J6</f>
        <v/>
      </c>
    </row>
    <row r="7">
      <c r="A7" s="12" t="inlineStr">
        <is>
          <t>2026-05-25</t>
        </is>
      </c>
      <c r="B7" s="7" t="n">
        <v>75886</v>
      </c>
      <c r="C7" s="7" t="n">
        <v>23119</v>
      </c>
      <c r="D7" s="7" t="n">
        <v>17836</v>
      </c>
      <c r="E7" s="7" t="n">
        <v>77934</v>
      </c>
      <c r="F7" s="7" t="n">
        <v>0</v>
      </c>
      <c r="G7" s="7" t="n">
        <v>711140</v>
      </c>
      <c r="H7" s="7" t="n">
        <v>319</v>
      </c>
      <c r="I7" s="7" t="n">
        <v>15942</v>
      </c>
      <c r="J7" s="7" t="n">
        <v>566</v>
      </c>
      <c r="K7" s="7" t="n">
        <v>61992</v>
      </c>
      <c r="L7" s="7" t="n">
        <v>2164</v>
      </c>
      <c r="M7" s="7" t="n">
        <v>1140</v>
      </c>
      <c r="O7" s="13">
        <f>H7/C7</f>
        <v/>
      </c>
      <c r="P7" s="13">
        <f>F7/E7</f>
        <v/>
      </c>
      <c r="Q7" s="14">
        <f>E7/L7</f>
        <v/>
      </c>
      <c r="R7" s="15">
        <f>I7+K7</f>
        <v/>
      </c>
      <c r="S7" s="15">
        <f>H7+J7</f>
        <v/>
      </c>
    </row>
    <row r="8">
      <c r="A8" s="12" t="inlineStr">
        <is>
          <t>2026-05-24</t>
        </is>
      </c>
      <c r="B8" s="7" t="n">
        <v>114409</v>
      </c>
      <c r="C8" s="7" t="n">
        <v>43143</v>
      </c>
      <c r="D8" s="7" t="n">
        <v>31296</v>
      </c>
      <c r="E8" s="7" t="n">
        <v>83918</v>
      </c>
      <c r="F8" s="7" t="n">
        <v>0</v>
      </c>
      <c r="G8" s="7" t="n">
        <v>761057</v>
      </c>
      <c r="H8" s="7" t="n">
        <v>485</v>
      </c>
      <c r="I8" s="7" t="n">
        <v>28908</v>
      </c>
      <c r="J8" s="7" t="n">
        <v>668</v>
      </c>
      <c r="K8" s="7" t="n">
        <v>55010</v>
      </c>
      <c r="L8" s="7" t="n">
        <v>2906</v>
      </c>
      <c r="M8" s="7" t="n">
        <v>1474</v>
      </c>
      <c r="O8" s="13">
        <f>H8/C8</f>
        <v/>
      </c>
      <c r="P8" s="13">
        <f>F8/E8</f>
        <v/>
      </c>
      <c r="Q8" s="14">
        <f>E8/L8</f>
        <v/>
      </c>
      <c r="R8" s="15">
        <f>I8+K8</f>
        <v/>
      </c>
      <c r="S8" s="15">
        <f>H8+J8</f>
        <v/>
      </c>
    </row>
    <row r="9">
      <c r="A9" s="12" t="inlineStr">
        <is>
          <t>2026-05-23</t>
        </is>
      </c>
      <c r="B9" s="7" t="n">
        <v>127712</v>
      </c>
      <c r="C9" s="7" t="n">
        <v>53792</v>
      </c>
      <c r="D9" s="7" t="n">
        <v>37144</v>
      </c>
      <c r="E9" s="7" t="n">
        <v>80326</v>
      </c>
      <c r="F9" s="7" t="n">
        <v>0</v>
      </c>
      <c r="G9" s="7" t="n">
        <v>751912</v>
      </c>
      <c r="H9" s="7" t="n">
        <v>468</v>
      </c>
      <c r="I9" s="7" t="n">
        <v>21978</v>
      </c>
      <c r="J9" s="7" t="n">
        <v>641</v>
      </c>
      <c r="K9" s="7" t="n">
        <v>58348</v>
      </c>
      <c r="L9" s="7" t="n">
        <v>3017</v>
      </c>
      <c r="M9" s="7" t="n">
        <v>1397</v>
      </c>
      <c r="O9" s="13">
        <f>H9/C9</f>
        <v/>
      </c>
      <c r="P9" s="13">
        <f>F9/E9</f>
        <v/>
      </c>
      <c r="Q9" s="14">
        <f>E9/L9</f>
        <v/>
      </c>
      <c r="R9" s="15">
        <f>I9+K9</f>
        <v/>
      </c>
      <c r="S9" s="15">
        <f>H9+J9</f>
        <v/>
      </c>
    </row>
    <row r="10">
      <c r="A10" s="12" t="inlineStr">
        <is>
          <t>2026-05-22</t>
        </is>
      </c>
      <c r="B10" s="7" t="n">
        <v>94801</v>
      </c>
      <c r="C10" s="7" t="n">
        <v>35137</v>
      </c>
      <c r="D10" s="7" t="n">
        <v>26878</v>
      </c>
      <c r="E10" s="7" t="n">
        <v>66186</v>
      </c>
      <c r="F10" s="7" t="n">
        <v>0</v>
      </c>
      <c r="G10" s="7" t="n">
        <v>638275</v>
      </c>
      <c r="H10" s="7" t="n">
        <v>375</v>
      </c>
      <c r="I10" s="7" t="n">
        <v>16080</v>
      </c>
      <c r="J10" s="7" t="n">
        <v>571</v>
      </c>
      <c r="K10" s="7" t="n">
        <v>50106</v>
      </c>
      <c r="L10" s="7" t="n">
        <v>2199</v>
      </c>
      <c r="M10" s="7" t="n">
        <v>1152</v>
      </c>
      <c r="O10" s="13">
        <f>H10/C10</f>
        <v/>
      </c>
      <c r="P10" s="13">
        <f>F10/E10</f>
        <v/>
      </c>
      <c r="Q10" s="14">
        <f>E10/L10</f>
        <v/>
      </c>
      <c r="R10" s="15">
        <f>I10+K10</f>
        <v/>
      </c>
      <c r="S10" s="15">
        <f>H10+J10</f>
        <v/>
      </c>
    </row>
    <row r="11">
      <c r="A11" s="12" t="inlineStr">
        <is>
          <t>2026-05-21</t>
        </is>
      </c>
      <c r="B11" s="7" t="n">
        <v>77098</v>
      </c>
      <c r="C11" s="7" t="n">
        <v>25954</v>
      </c>
      <c r="D11" s="7" t="n">
        <v>20979</v>
      </c>
      <c r="E11" s="7" t="n">
        <v>69750</v>
      </c>
      <c r="F11" s="7" t="n">
        <v>0</v>
      </c>
      <c r="G11" s="7" t="n">
        <v>610351</v>
      </c>
      <c r="H11" s="7" t="n">
        <v>354</v>
      </c>
      <c r="I11" s="7" t="n">
        <v>22832</v>
      </c>
      <c r="J11" s="7" t="n">
        <v>513</v>
      </c>
      <c r="K11" s="7" t="n">
        <v>46918</v>
      </c>
      <c r="L11" s="7" t="n">
        <v>2301</v>
      </c>
      <c r="M11" s="7" t="n">
        <v>1166</v>
      </c>
      <c r="O11" s="13">
        <f>H11/C11</f>
        <v/>
      </c>
      <c r="P11" s="13">
        <f>F11/E11</f>
        <v/>
      </c>
      <c r="Q11" s="14">
        <f>E11/L11</f>
        <v/>
      </c>
      <c r="R11" s="15">
        <f>I11+K11</f>
        <v/>
      </c>
      <c r="S11" s="15">
        <f>H11+J11</f>
        <v/>
      </c>
    </row>
    <row r="12">
      <c r="A12" s="12" t="inlineStr">
        <is>
          <t>2026-05-20</t>
        </is>
      </c>
      <c r="B12" s="7" t="n">
        <v>76581</v>
      </c>
      <c r="C12" s="7" t="n">
        <v>27070</v>
      </c>
      <c r="D12" s="7" t="n">
        <v>24128</v>
      </c>
      <c r="E12" s="7" t="n">
        <v>57930</v>
      </c>
      <c r="F12" s="7" t="n">
        <v>0</v>
      </c>
      <c r="G12" s="7" t="n">
        <v>531049</v>
      </c>
      <c r="H12" s="7" t="n">
        <v>317</v>
      </c>
      <c r="I12" s="7" t="n">
        <v>14686</v>
      </c>
      <c r="J12" s="7" t="n">
        <v>486</v>
      </c>
      <c r="K12" s="7" t="n">
        <v>43244</v>
      </c>
      <c r="L12" s="7" t="n">
        <v>1953</v>
      </c>
      <c r="M12" s="7" t="n">
        <v>1003</v>
      </c>
      <c r="O12" s="13">
        <f>H12/C12</f>
        <v/>
      </c>
      <c r="P12" s="13">
        <f>F12/E12</f>
        <v/>
      </c>
      <c r="Q12" s="14">
        <f>E12/L12</f>
        <v/>
      </c>
      <c r="R12" s="15">
        <f>I12+K12</f>
        <v/>
      </c>
      <c r="S12" s="15">
        <f>H12+J12</f>
        <v/>
      </c>
    </row>
    <row r="13">
      <c r="A13" s="12" t="inlineStr">
        <is>
          <t>2026-05-19</t>
        </is>
      </c>
      <c r="B13" s="7" t="n">
        <v>75069</v>
      </c>
      <c r="C13" s="7" t="n">
        <v>26214</v>
      </c>
      <c r="D13" s="7" t="n">
        <v>23815</v>
      </c>
      <c r="E13" s="7" t="n">
        <v>68068</v>
      </c>
      <c r="F13" s="7" t="n">
        <v>0</v>
      </c>
      <c r="G13" s="7" t="n">
        <v>617204</v>
      </c>
      <c r="H13" s="7" t="n">
        <v>343</v>
      </c>
      <c r="I13" s="7" t="n">
        <v>19556</v>
      </c>
      <c r="J13" s="7" t="n">
        <v>521</v>
      </c>
      <c r="K13" s="7" t="n">
        <v>48512</v>
      </c>
      <c r="L13" s="7" t="n">
        <v>2202</v>
      </c>
      <c r="M13" s="7" t="n">
        <v>1126</v>
      </c>
      <c r="O13" s="13">
        <f>H13/C13</f>
        <v/>
      </c>
      <c r="P13" s="13">
        <f>F13/E13</f>
        <v/>
      </c>
      <c r="Q13" s="14">
        <f>E13/L13</f>
        <v/>
      </c>
      <c r="R13" s="15">
        <f>I13+K13</f>
        <v/>
      </c>
      <c r="S13" s="15">
        <f>H13+J13</f>
        <v/>
      </c>
    </row>
    <row r="14">
      <c r="A14" s="12" t="inlineStr">
        <is>
          <t>2026-05-18</t>
        </is>
      </c>
      <c r="B14" s="7" t="n">
        <v>74481</v>
      </c>
      <c r="C14" s="7" t="n">
        <v>25628</v>
      </c>
      <c r="D14" s="7" t="n">
        <v>21645</v>
      </c>
      <c r="E14" s="7" t="n">
        <v>80658</v>
      </c>
      <c r="F14" s="7" t="n">
        <v>0</v>
      </c>
      <c r="G14" s="7" t="n">
        <v>749580</v>
      </c>
      <c r="H14" s="7" t="n">
        <v>392</v>
      </c>
      <c r="I14" s="7" t="n">
        <v>20816</v>
      </c>
      <c r="J14" s="7" t="n">
        <v>536</v>
      </c>
      <c r="K14" s="7" t="n">
        <v>59842</v>
      </c>
      <c r="L14" s="7" t="n">
        <v>2330</v>
      </c>
      <c r="M14" s="7" t="n">
        <v>1215</v>
      </c>
      <c r="O14" s="13">
        <f>H14/C14</f>
        <v/>
      </c>
      <c r="P14" s="13">
        <f>F14/E14</f>
        <v/>
      </c>
      <c r="Q14" s="14">
        <f>E14/L14</f>
        <v/>
      </c>
      <c r="R14" s="15">
        <f>I14+K14</f>
        <v/>
      </c>
      <c r="S14" s="15">
        <f>H14+J14</f>
        <v/>
      </c>
    </row>
    <row r="15">
      <c r="A15" s="12" t="inlineStr">
        <is>
          <t>2026-05-17</t>
        </is>
      </c>
      <c r="B15" s="7" t="n">
        <v>113225</v>
      </c>
      <c r="C15" s="7" t="n">
        <v>48758</v>
      </c>
      <c r="D15" s="7" t="n">
        <v>37927</v>
      </c>
      <c r="E15" s="7" t="n">
        <v>87156</v>
      </c>
      <c r="F15" s="7" t="n">
        <v>0</v>
      </c>
      <c r="G15" s="7" t="n">
        <v>761249</v>
      </c>
      <c r="H15" s="7" t="n">
        <v>471</v>
      </c>
      <c r="I15" s="7" t="n">
        <v>25632</v>
      </c>
      <c r="J15" s="7" t="n">
        <v>625</v>
      </c>
      <c r="K15" s="7" t="n">
        <v>61524</v>
      </c>
      <c r="L15" s="7" t="n">
        <v>2886</v>
      </c>
      <c r="M15" s="7" t="n">
        <v>1361</v>
      </c>
      <c r="O15" s="13">
        <f>H15/C15</f>
        <v/>
      </c>
      <c r="P15" s="13">
        <f>F15/E15</f>
        <v/>
      </c>
      <c r="Q15" s="14">
        <f>E15/L15</f>
        <v/>
      </c>
      <c r="R15" s="15">
        <f>I15+K15</f>
        <v/>
      </c>
      <c r="S15" s="15">
        <f>H15+J15</f>
        <v/>
      </c>
    </row>
    <row r="16">
      <c r="A16" s="12" t="inlineStr">
        <is>
          <t>2026-05-16</t>
        </is>
      </c>
      <c r="B16" s="7" t="n">
        <v>118928</v>
      </c>
      <c r="C16" s="7" t="n">
        <v>59317</v>
      </c>
      <c r="D16" s="7" t="n">
        <v>51977</v>
      </c>
      <c r="E16" s="7" t="n">
        <v>74484</v>
      </c>
      <c r="F16" s="7" t="n">
        <v>0</v>
      </c>
      <c r="G16" s="7" t="n">
        <v>714148</v>
      </c>
      <c r="H16" s="7" t="n">
        <v>496</v>
      </c>
      <c r="I16" s="7" t="n">
        <v>22338</v>
      </c>
      <c r="J16" s="7" t="n">
        <v>553</v>
      </c>
      <c r="K16" s="7" t="n">
        <v>52146</v>
      </c>
      <c r="L16" s="7" t="n">
        <v>2718</v>
      </c>
      <c r="M16" s="7" t="n">
        <v>1304</v>
      </c>
      <c r="O16" s="13">
        <f>H16/C16</f>
        <v/>
      </c>
      <c r="P16" s="13">
        <f>F16/E16</f>
        <v/>
      </c>
      <c r="Q16" s="14">
        <f>E16/L16</f>
        <v/>
      </c>
      <c r="R16" s="15">
        <f>I16+K16</f>
        <v/>
      </c>
      <c r="S16" s="15">
        <f>H16+J16</f>
        <v/>
      </c>
    </row>
    <row r="17">
      <c r="A17" s="12" t="inlineStr">
        <is>
          <t>2026-05-15</t>
        </is>
      </c>
      <c r="B17" s="7" t="n">
        <v>71821</v>
      </c>
      <c r="C17" s="7" t="n">
        <v>31023</v>
      </c>
      <c r="D17" s="7" t="n">
        <v>30256</v>
      </c>
      <c r="E17" s="7" t="n">
        <v>50384</v>
      </c>
      <c r="F17" s="7" t="n">
        <v>0</v>
      </c>
      <c r="G17" s="7" t="n">
        <v>484023</v>
      </c>
      <c r="H17" s="7" t="n">
        <v>280</v>
      </c>
      <c r="I17" s="7" t="n">
        <v>13292</v>
      </c>
      <c r="J17" s="7" t="n">
        <v>419</v>
      </c>
      <c r="K17" s="7" t="n">
        <v>37092</v>
      </c>
      <c r="L17" s="7" t="n">
        <v>1752</v>
      </c>
      <c r="M17" s="7" t="n">
        <v>864</v>
      </c>
      <c r="O17" s="13">
        <f>H17/C17</f>
        <v/>
      </c>
      <c r="P17" s="13">
        <f>F17/E17</f>
        <v/>
      </c>
      <c r="Q17" s="14">
        <f>E17/L17</f>
        <v/>
      </c>
      <c r="R17" s="15">
        <f>I17+K17</f>
        <v/>
      </c>
      <c r="S17" s="15">
        <f>H17+J17</f>
        <v/>
      </c>
    </row>
    <row r="18">
      <c r="A18" s="12" t="inlineStr">
        <is>
          <t>2026-05-14</t>
        </is>
      </c>
      <c r="B18" s="7" t="n">
        <v>51491</v>
      </c>
      <c r="C18" s="7" t="n">
        <v>15158</v>
      </c>
      <c r="D18" s="7" t="n">
        <v>16832</v>
      </c>
      <c r="E18" s="7" t="n">
        <v>51976</v>
      </c>
      <c r="F18" s="7" t="n">
        <v>0</v>
      </c>
      <c r="G18" s="7" t="n">
        <v>484314</v>
      </c>
      <c r="H18" s="7" t="n">
        <v>189</v>
      </c>
      <c r="I18" s="7" t="n">
        <v>12890</v>
      </c>
      <c r="J18" s="7" t="n">
        <v>413</v>
      </c>
      <c r="K18" s="7" t="n">
        <v>39086</v>
      </c>
      <c r="L18" s="7" t="n">
        <v>1468</v>
      </c>
      <c r="M18" s="7" t="n">
        <v>783</v>
      </c>
      <c r="O18" s="13">
        <f>H18/C18</f>
        <v/>
      </c>
      <c r="P18" s="13">
        <f>F18/E18</f>
        <v/>
      </c>
      <c r="Q18" s="14">
        <f>E18/L18</f>
        <v/>
      </c>
      <c r="R18" s="15">
        <f>I18+K18</f>
        <v/>
      </c>
      <c r="S18" s="15">
        <f>H18+J18</f>
        <v/>
      </c>
    </row>
    <row r="19">
      <c r="A19" s="12" t="inlineStr">
        <is>
          <t>2026-05-13</t>
        </is>
      </c>
      <c r="B19" s="7" t="n">
        <v>52290</v>
      </c>
      <c r="C19" s="7" t="n">
        <v>15472</v>
      </c>
      <c r="D19" s="7" t="n">
        <v>16030</v>
      </c>
      <c r="E19" s="7" t="n">
        <v>52954</v>
      </c>
      <c r="F19" s="7" t="n">
        <v>0</v>
      </c>
      <c r="G19" s="7" t="n">
        <v>466628</v>
      </c>
      <c r="H19" s="7" t="n">
        <v>238</v>
      </c>
      <c r="I19" s="7" t="n">
        <v>12788</v>
      </c>
      <c r="J19" s="7" t="n">
        <v>459</v>
      </c>
      <c r="K19" s="7" t="n">
        <v>40166</v>
      </c>
      <c r="L19" s="7" t="n">
        <v>1642</v>
      </c>
      <c r="M19" s="7" t="n">
        <v>931</v>
      </c>
      <c r="O19" s="13">
        <f>H19/C19</f>
        <v/>
      </c>
      <c r="P19" s="13">
        <f>F19/E19</f>
        <v/>
      </c>
      <c r="Q19" s="14">
        <f>E19/L19</f>
        <v/>
      </c>
      <c r="R19" s="15">
        <f>I19+K19</f>
        <v/>
      </c>
      <c r="S19" s="15">
        <f>H19+J19</f>
        <v/>
      </c>
    </row>
    <row r="20">
      <c r="A20" s="12" t="inlineStr">
        <is>
          <t>2026-05-12</t>
        </is>
      </c>
      <c r="B20" s="7" t="n">
        <v>51851</v>
      </c>
      <c r="C20" s="7" t="n">
        <v>15873</v>
      </c>
      <c r="D20" s="7" t="n">
        <v>14749</v>
      </c>
      <c r="E20" s="7" t="n">
        <v>44066</v>
      </c>
      <c r="F20" s="7" t="n">
        <v>0</v>
      </c>
      <c r="G20" s="7" t="n">
        <v>408728</v>
      </c>
      <c r="H20" s="7" t="n">
        <v>283</v>
      </c>
      <c r="I20" s="7" t="n">
        <v>10720</v>
      </c>
      <c r="J20" s="7" t="n">
        <v>420</v>
      </c>
      <c r="K20" s="7" t="n">
        <v>33346</v>
      </c>
      <c r="L20" s="7" t="n">
        <v>1716</v>
      </c>
      <c r="M20" s="7" t="n">
        <v>896</v>
      </c>
      <c r="O20" s="13">
        <f>H20/C20</f>
        <v/>
      </c>
      <c r="P20" s="13">
        <f>F20/E20</f>
        <v/>
      </c>
      <c r="Q20" s="14">
        <f>E20/L20</f>
        <v/>
      </c>
      <c r="R20" s="15">
        <f>I20+K20</f>
        <v/>
      </c>
      <c r="S20" s="15">
        <f>H20+J20</f>
        <v/>
      </c>
    </row>
    <row r="21">
      <c r="A21" s="12" t="inlineStr">
        <is>
          <t>2026-05-11</t>
        </is>
      </c>
      <c r="B21" s="7" t="n">
        <v>48021</v>
      </c>
      <c r="C21" s="7" t="n">
        <v>13420</v>
      </c>
      <c r="D21" s="7" t="n">
        <v>11976</v>
      </c>
      <c r="E21" s="7" t="n">
        <v>40004</v>
      </c>
      <c r="F21" s="7" t="n">
        <v>0</v>
      </c>
      <c r="G21" s="7" t="n">
        <v>370430</v>
      </c>
      <c r="H21" s="7" t="n">
        <v>245</v>
      </c>
      <c r="I21" s="7" t="n">
        <v>9566</v>
      </c>
      <c r="J21" s="7" t="n">
        <v>392</v>
      </c>
      <c r="K21" s="7" t="n">
        <v>30438</v>
      </c>
      <c r="L21" s="7" t="n">
        <v>1533</v>
      </c>
      <c r="M21" s="7" t="n">
        <v>800</v>
      </c>
      <c r="O21" s="13">
        <f>H21/C21</f>
        <v/>
      </c>
      <c r="P21" s="13">
        <f>F21/E21</f>
        <v/>
      </c>
      <c r="Q21" s="14">
        <f>E21/L21</f>
        <v/>
      </c>
      <c r="R21" s="15">
        <f>I21+K21</f>
        <v/>
      </c>
      <c r="S21" s="15">
        <f>H21+J21</f>
        <v/>
      </c>
    </row>
    <row r="22">
      <c r="A22" s="12" t="inlineStr">
        <is>
          <t>2026-05-10</t>
        </is>
      </c>
      <c r="B22" s="7" t="n">
        <v>67851</v>
      </c>
      <c r="C22" s="7" t="n">
        <v>22658</v>
      </c>
      <c r="D22" s="7" t="n">
        <v>21783</v>
      </c>
      <c r="E22" s="7" t="n">
        <v>52198</v>
      </c>
      <c r="F22" s="7" t="n">
        <v>0</v>
      </c>
      <c r="G22" s="7" t="n">
        <v>492664</v>
      </c>
      <c r="H22" s="7" t="n">
        <v>323</v>
      </c>
      <c r="I22" s="7" t="n">
        <v>14674</v>
      </c>
      <c r="J22" s="7" t="n">
        <v>515</v>
      </c>
      <c r="K22" s="7" t="n">
        <v>37524</v>
      </c>
      <c r="L22" s="7" t="n">
        <v>2125</v>
      </c>
      <c r="M22" s="7" t="n">
        <v>1144</v>
      </c>
      <c r="O22" s="13">
        <f>H22/C22</f>
        <v/>
      </c>
      <c r="P22" s="13">
        <f>F22/E22</f>
        <v/>
      </c>
      <c r="Q22" s="14">
        <f>E22/L22</f>
        <v/>
      </c>
      <c r="R22" s="15">
        <f>I22+K22</f>
        <v/>
      </c>
      <c r="S22" s="15">
        <f>H22+J22</f>
        <v/>
      </c>
    </row>
    <row r="23">
      <c r="A23" s="12" t="inlineStr">
        <is>
          <t>2026-05-09</t>
        </is>
      </c>
      <c r="B23" s="7" t="n">
        <v>57105</v>
      </c>
      <c r="C23" s="7" t="n">
        <v>17236</v>
      </c>
      <c r="D23" s="7" t="n">
        <v>17392</v>
      </c>
      <c r="E23" s="7" t="n">
        <v>66326</v>
      </c>
      <c r="F23" s="7" t="n">
        <v>0</v>
      </c>
      <c r="G23" s="7" t="n">
        <v>577157</v>
      </c>
      <c r="H23" s="7" t="n">
        <v>264</v>
      </c>
      <c r="I23" s="7" t="n">
        <v>13968</v>
      </c>
      <c r="J23" s="7" t="n">
        <v>483</v>
      </c>
      <c r="K23" s="7" t="n">
        <v>52358</v>
      </c>
      <c r="L23" s="7" t="n">
        <v>2005</v>
      </c>
      <c r="M23" s="7" t="n">
        <v>1054</v>
      </c>
      <c r="O23" s="13">
        <f>H23/C23</f>
        <v/>
      </c>
      <c r="P23" s="13">
        <f>F23/E23</f>
        <v/>
      </c>
      <c r="Q23" s="14">
        <f>E23/L23</f>
        <v/>
      </c>
      <c r="R23" s="15">
        <f>I23+K23</f>
        <v/>
      </c>
      <c r="S23" s="15">
        <f>H23+J23</f>
        <v/>
      </c>
    </row>
    <row r="24">
      <c r="A24" s="12" t="inlineStr">
        <is>
          <t>2026-05-08</t>
        </is>
      </c>
      <c r="B24" s="7" t="n">
        <v>47465</v>
      </c>
      <c r="C24" s="7" t="n">
        <v>13181</v>
      </c>
      <c r="D24" s="7" t="n">
        <v>12763</v>
      </c>
      <c r="E24" s="7" t="n">
        <v>41284</v>
      </c>
      <c r="F24" s="7" t="n">
        <v>0</v>
      </c>
      <c r="G24" s="7" t="n">
        <v>373093</v>
      </c>
      <c r="H24" s="7" t="n">
        <v>278</v>
      </c>
      <c r="I24" s="7" t="n">
        <v>12274</v>
      </c>
      <c r="J24" s="7" t="n">
        <v>406</v>
      </c>
      <c r="K24" s="7" t="n">
        <v>29010</v>
      </c>
      <c r="L24" s="7" t="n">
        <v>1611</v>
      </c>
      <c r="M24" s="7" t="n">
        <v>879</v>
      </c>
      <c r="O24" s="13">
        <f>H24/C24</f>
        <v/>
      </c>
      <c r="P24" s="13">
        <f>F24/E24</f>
        <v/>
      </c>
      <c r="Q24" s="14">
        <f>E24/L24</f>
        <v/>
      </c>
      <c r="R24" s="15">
        <f>I24+K24</f>
        <v/>
      </c>
      <c r="S24" s="15">
        <f>H24+J24</f>
        <v/>
      </c>
    </row>
    <row r="25">
      <c r="A25" s="12" t="inlineStr">
        <is>
          <t>2026-05-07</t>
        </is>
      </c>
      <c r="B25" s="7" t="n">
        <v>46260</v>
      </c>
      <c r="C25" s="7" t="n">
        <v>12598</v>
      </c>
      <c r="D25" s="7" t="n">
        <v>12670</v>
      </c>
      <c r="E25" s="7" t="n">
        <v>45612</v>
      </c>
      <c r="F25" s="7" t="n">
        <v>0</v>
      </c>
      <c r="G25" s="7" t="n">
        <v>444664</v>
      </c>
      <c r="H25" s="7" t="n">
        <v>255</v>
      </c>
      <c r="I25" s="7" t="n">
        <v>12636</v>
      </c>
      <c r="J25" s="7" t="n">
        <v>391</v>
      </c>
      <c r="K25" s="7" t="n">
        <v>32976</v>
      </c>
      <c r="L25" s="7" t="n">
        <v>1500</v>
      </c>
      <c r="M25" s="7" t="n">
        <v>826</v>
      </c>
      <c r="O25" s="13">
        <f>H25/C25</f>
        <v/>
      </c>
      <c r="P25" s="13">
        <f>F25/E25</f>
        <v/>
      </c>
      <c r="Q25" s="14">
        <f>E25/L25</f>
        <v/>
      </c>
      <c r="R25" s="15">
        <f>I25+K25</f>
        <v/>
      </c>
      <c r="S25" s="15">
        <f>H25+J25</f>
        <v/>
      </c>
    </row>
    <row r="26">
      <c r="A26" s="12" t="inlineStr">
        <is>
          <t>2026-05-06</t>
        </is>
      </c>
      <c r="B26" s="7" t="n">
        <v>47667</v>
      </c>
      <c r="C26" s="7" t="n">
        <v>12736</v>
      </c>
      <c r="D26" s="7" t="n">
        <v>13425</v>
      </c>
      <c r="E26" s="7" t="n">
        <v>49234</v>
      </c>
      <c r="F26" s="7" t="n">
        <v>0</v>
      </c>
      <c r="G26" s="7" t="n">
        <v>452658</v>
      </c>
      <c r="H26" s="7" t="n">
        <v>246</v>
      </c>
      <c r="I26" s="7" t="n">
        <v>12770</v>
      </c>
      <c r="J26" s="7" t="n">
        <v>420</v>
      </c>
      <c r="K26" s="7" t="n">
        <v>36464</v>
      </c>
      <c r="L26" s="7" t="n">
        <v>1585</v>
      </c>
      <c r="M26" s="7" t="n">
        <v>891</v>
      </c>
      <c r="O26" s="13">
        <f>H26/C26</f>
        <v/>
      </c>
      <c r="P26" s="13">
        <f>F26/E26</f>
        <v/>
      </c>
      <c r="Q26" s="14">
        <f>E26/L26</f>
        <v/>
      </c>
      <c r="R26" s="15">
        <f>I26+K26</f>
        <v/>
      </c>
      <c r="S26" s="15">
        <f>H26+J26</f>
        <v/>
      </c>
    </row>
    <row r="27">
      <c r="A27" s="12" t="inlineStr">
        <is>
          <t>2026-05-05</t>
        </is>
      </c>
      <c r="B27" s="7" t="n">
        <v>68167</v>
      </c>
      <c r="C27" s="7" t="n">
        <v>22247</v>
      </c>
      <c r="D27" s="7" t="n">
        <v>21889</v>
      </c>
      <c r="E27" s="7" t="n">
        <v>59022</v>
      </c>
      <c r="F27" s="7" t="n">
        <v>0</v>
      </c>
      <c r="G27" s="7" t="n">
        <v>530994</v>
      </c>
      <c r="H27" s="7" t="n">
        <v>346</v>
      </c>
      <c r="I27" s="7" t="n">
        <v>13574</v>
      </c>
      <c r="J27" s="7" t="n">
        <v>503</v>
      </c>
      <c r="K27" s="7" t="n">
        <v>45448</v>
      </c>
      <c r="L27" s="7" t="n">
        <v>2167</v>
      </c>
      <c r="M27" s="7" t="n">
        <v>1141</v>
      </c>
      <c r="O27" s="13">
        <f>H27/C27</f>
        <v/>
      </c>
      <c r="P27" s="13">
        <f>F27/E27</f>
        <v/>
      </c>
      <c r="Q27" s="14">
        <f>E27/L27</f>
        <v/>
      </c>
      <c r="R27" s="15">
        <f>I27+K27</f>
        <v/>
      </c>
      <c r="S27" s="15">
        <f>H27+J27</f>
        <v/>
      </c>
    </row>
    <row r="28">
      <c r="A28" s="12" t="inlineStr">
        <is>
          <t>2026-05-04</t>
        </is>
      </c>
      <c r="B28" s="7" t="n">
        <v>82981</v>
      </c>
      <c r="C28" s="7" t="n">
        <v>32265</v>
      </c>
      <c r="D28" s="7" t="n">
        <v>29734</v>
      </c>
      <c r="E28" s="7" t="n">
        <v>60548</v>
      </c>
      <c r="F28" s="7" t="n">
        <v>0</v>
      </c>
      <c r="G28" s="7" t="n">
        <v>542296</v>
      </c>
      <c r="H28" s="7" t="n">
        <v>469</v>
      </c>
      <c r="I28" s="7" t="n">
        <v>20120</v>
      </c>
      <c r="J28" s="7" t="n">
        <v>544</v>
      </c>
      <c r="K28" s="7" t="n">
        <v>40428</v>
      </c>
      <c r="L28" s="7" t="n">
        <v>2596</v>
      </c>
      <c r="M28" s="7" t="n">
        <v>1318</v>
      </c>
      <c r="O28" s="13">
        <f>H28/C28</f>
        <v/>
      </c>
      <c r="P28" s="13">
        <f>F28/E28</f>
        <v/>
      </c>
      <c r="Q28" s="14">
        <f>E28/L28</f>
        <v/>
      </c>
      <c r="R28" s="15">
        <f>I28+K28</f>
        <v/>
      </c>
      <c r="S28" s="15">
        <f>H28+J28</f>
        <v/>
      </c>
    </row>
    <row r="29">
      <c r="A29" s="12" t="inlineStr">
        <is>
          <t>2026-05-03</t>
        </is>
      </c>
      <c r="B29" s="7" t="n">
        <v>88828</v>
      </c>
      <c r="C29" s="7" t="n">
        <v>37858</v>
      </c>
      <c r="D29" s="7" t="n">
        <v>33543</v>
      </c>
      <c r="E29" s="7" t="n">
        <v>73870</v>
      </c>
      <c r="F29" s="7" t="n">
        <v>0</v>
      </c>
      <c r="G29" s="7" t="n">
        <v>650586</v>
      </c>
      <c r="H29" s="7" t="n">
        <v>533</v>
      </c>
      <c r="I29" s="7" t="n">
        <v>25134</v>
      </c>
      <c r="J29" s="7" t="n">
        <v>555</v>
      </c>
      <c r="K29" s="7" t="n">
        <v>48736</v>
      </c>
      <c r="L29" s="7" t="n">
        <v>2862</v>
      </c>
      <c r="M29" s="7" t="n">
        <v>1432</v>
      </c>
      <c r="O29" s="13">
        <f>H29/C29</f>
        <v/>
      </c>
      <c r="P29" s="13">
        <f>F29/E29</f>
        <v/>
      </c>
      <c r="Q29" s="14">
        <f>E29/L29</f>
        <v/>
      </c>
      <c r="R29" s="15">
        <f>I29+K29</f>
        <v/>
      </c>
      <c r="S29" s="15">
        <f>H29+J29</f>
        <v/>
      </c>
    </row>
    <row r="30">
      <c r="A30" s="12" t="inlineStr">
        <is>
          <t>2026-05-02</t>
        </is>
      </c>
      <c r="B30" s="7" t="n">
        <v>81433</v>
      </c>
      <c r="C30" s="7" t="n">
        <v>34374</v>
      </c>
      <c r="D30" s="7" t="n">
        <v>34820</v>
      </c>
      <c r="E30" s="7" t="n">
        <v>63430</v>
      </c>
      <c r="F30" s="7" t="n">
        <v>0</v>
      </c>
      <c r="G30" s="7" t="n">
        <v>569226</v>
      </c>
      <c r="H30" s="7" t="n">
        <v>449</v>
      </c>
      <c r="I30" s="7" t="n">
        <v>19932</v>
      </c>
      <c r="J30" s="7" t="n">
        <v>545</v>
      </c>
      <c r="K30" s="7" t="n">
        <v>43498</v>
      </c>
      <c r="L30" s="7" t="n">
        <v>2574</v>
      </c>
      <c r="M30" s="7" t="n">
        <v>1312</v>
      </c>
      <c r="O30" s="13">
        <f>H30/C30</f>
        <v/>
      </c>
      <c r="P30" s="13">
        <f>F30/E30</f>
        <v/>
      </c>
      <c r="Q30" s="14">
        <f>E30/L30</f>
        <v/>
      </c>
      <c r="R30" s="15">
        <f>I30+K30</f>
        <v/>
      </c>
      <c r="S30" s="15">
        <f>H30+J30</f>
        <v/>
      </c>
    </row>
    <row r="31">
      <c r="A31" s="12" t="inlineStr">
        <is>
          <t>2026-05-01</t>
        </is>
      </c>
      <c r="B31" s="7" t="n">
        <v>80419</v>
      </c>
      <c r="C31" s="7" t="n">
        <v>39865</v>
      </c>
      <c r="D31" s="7" t="n">
        <v>37081</v>
      </c>
      <c r="E31" s="7" t="n">
        <v>67290</v>
      </c>
      <c r="F31" s="7" t="n">
        <v>0</v>
      </c>
      <c r="G31" s="7" t="n">
        <v>642623</v>
      </c>
      <c r="H31" s="7" t="n">
        <v>474</v>
      </c>
      <c r="I31" s="7" t="n">
        <v>21100</v>
      </c>
      <c r="J31" s="7" t="n">
        <v>461</v>
      </c>
      <c r="K31" s="7" t="n">
        <v>46190</v>
      </c>
      <c r="L31" s="7" t="n">
        <v>4270</v>
      </c>
      <c r="M31" s="7" t="n">
        <v>1236</v>
      </c>
      <c r="O31" s="13">
        <f>H31/C31</f>
        <v/>
      </c>
      <c r="P31" s="13">
        <f>F31/E31</f>
        <v/>
      </c>
      <c r="Q31" s="14">
        <f>E31/L31</f>
        <v/>
      </c>
      <c r="R31" s="15">
        <f>I31+K31</f>
        <v/>
      </c>
      <c r="S31" s="15">
        <f>H31+J31</f>
        <v/>
      </c>
    </row>
    <row r="32">
      <c r="A32" s="12" t="inlineStr">
        <is>
          <t>2026-04-30</t>
        </is>
      </c>
      <c r="B32" s="7" t="n">
        <v>53118</v>
      </c>
      <c r="C32" s="7" t="n">
        <v>23872</v>
      </c>
      <c r="D32" s="7" t="n">
        <v>19980</v>
      </c>
      <c r="E32" s="7" t="n">
        <v>47494</v>
      </c>
      <c r="F32" s="7" t="n">
        <v>0</v>
      </c>
      <c r="G32" s="7" t="n">
        <v>418358</v>
      </c>
      <c r="H32" s="7" t="n">
        <v>211</v>
      </c>
      <c r="I32" s="7" t="n">
        <v>8904</v>
      </c>
      <c r="J32" s="7" t="n">
        <v>376</v>
      </c>
      <c r="K32" s="7" t="n">
        <v>38590</v>
      </c>
      <c r="L32" s="7" t="n">
        <v>1595</v>
      </c>
      <c r="M32" s="7" t="n">
        <v>770</v>
      </c>
      <c r="O32" s="13">
        <f>H32/C32</f>
        <v/>
      </c>
      <c r="P32" s="13">
        <f>F32/E32</f>
        <v/>
      </c>
      <c r="Q32" s="14">
        <f>E32/L32</f>
        <v/>
      </c>
      <c r="R32" s="15">
        <f>I32+K32</f>
        <v/>
      </c>
      <c r="S32" s="15">
        <f>H32+J32</f>
        <v/>
      </c>
    </row>
    <row r="33">
      <c r="A33" s="12" t="inlineStr">
        <is>
          <t>2026-04-29</t>
        </is>
      </c>
      <c r="B33" s="7" t="n">
        <v>42185</v>
      </c>
      <c r="C33" s="7" t="n">
        <v>21035</v>
      </c>
      <c r="D33" s="7" t="n">
        <v>14600</v>
      </c>
      <c r="E33" s="7" t="n">
        <v>43418</v>
      </c>
      <c r="F33" s="7" t="n">
        <v>0</v>
      </c>
      <c r="G33" s="7" t="n">
        <v>407927</v>
      </c>
      <c r="H33" s="7" t="n">
        <v>175</v>
      </c>
      <c r="I33" s="7" t="n">
        <v>8384</v>
      </c>
      <c r="J33" s="7" t="n">
        <v>351</v>
      </c>
      <c r="K33" s="7" t="n">
        <v>35034</v>
      </c>
      <c r="L33" s="7" t="n">
        <v>1461</v>
      </c>
      <c r="M33" s="7" t="n">
        <v>722</v>
      </c>
      <c r="O33" s="13">
        <f>H33/C33</f>
        <v/>
      </c>
      <c r="P33" s="13">
        <f>F33/E33</f>
        <v/>
      </c>
      <c r="Q33" s="14">
        <f>E33/L33</f>
        <v/>
      </c>
      <c r="R33" s="15">
        <f>I33+K33</f>
        <v/>
      </c>
      <c r="S33" s="15">
        <f>H33+J33</f>
        <v/>
      </c>
    </row>
    <row r="34">
      <c r="A34" s="12" t="inlineStr">
        <is>
          <t>2026-04-28</t>
        </is>
      </c>
      <c r="B34" s="7" t="n">
        <v>40644</v>
      </c>
      <c r="C34" s="7" t="n">
        <v>22406</v>
      </c>
      <c r="D34" s="7" t="n">
        <v>15596</v>
      </c>
      <c r="E34" s="7" t="n">
        <v>44526</v>
      </c>
      <c r="F34" s="7" t="n">
        <v>0</v>
      </c>
      <c r="G34" s="7" t="n">
        <v>405042</v>
      </c>
      <c r="H34" s="7" t="n">
        <v>175</v>
      </c>
      <c r="I34" s="7" t="n">
        <v>7684</v>
      </c>
      <c r="J34" s="7" t="n">
        <v>347</v>
      </c>
      <c r="K34" s="7" t="n">
        <v>36842</v>
      </c>
      <c r="L34" s="7" t="n">
        <v>1256</v>
      </c>
      <c r="M34" s="7" t="n">
        <v>706</v>
      </c>
      <c r="O34" s="13">
        <f>H34/C34</f>
        <v/>
      </c>
      <c r="P34" s="13">
        <f>F34/E34</f>
        <v/>
      </c>
      <c r="Q34" s="14">
        <f>E34/L34</f>
        <v/>
      </c>
      <c r="R34" s="15">
        <f>I34+K34</f>
        <v/>
      </c>
      <c r="S34" s="15">
        <f>H34+J34</f>
        <v/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套餐统计（近 7 天聚合 2026-05-21 ~ 2026-05-27）</t>
        </is>
      </c>
    </row>
    <row r="2">
      <c r="A2" s="2" t="inlineStr">
        <is>
          <t>来源：系统统计 &gt; 套餐统计</t>
        </is>
      </c>
    </row>
    <row r="4">
      <c r="A4" s="9" t="inlineStr">
        <is>
          <t>套餐类型</t>
        </is>
      </c>
      <c r="B4" s="9" t="inlineStr">
        <is>
          <t>套餐名称</t>
        </is>
      </c>
      <c r="C4" s="9" t="inlineStr">
        <is>
          <t>点击次数</t>
        </is>
      </c>
      <c r="D4" s="9" t="inlineStr">
        <is>
          <t>点击人数</t>
        </is>
      </c>
      <c r="E4" s="9" t="inlineStr">
        <is>
          <t>下单次数</t>
        </is>
      </c>
      <c r="F4" s="9" t="inlineStr">
        <is>
          <t>下单人数</t>
        </is>
      </c>
      <c r="G4" s="9" t="inlineStr">
        <is>
          <t>成功次数</t>
        </is>
      </c>
      <c r="H4" s="9" t="inlineStr">
        <is>
          <t>购买金额</t>
        </is>
      </c>
      <c r="I4" s="9" t="inlineStr">
        <is>
          <t>实际收入</t>
        </is>
      </c>
      <c r="J4" s="11" t="inlineStr">
        <is>
          <t>点击→下单%</t>
        </is>
      </c>
      <c r="K4" s="11" t="inlineStr">
        <is>
          <t>下单→支付%</t>
        </is>
      </c>
      <c r="L4" s="11" t="inlineStr">
        <is>
          <t>收入占比%</t>
        </is>
      </c>
    </row>
    <row r="5">
      <c r="A5" s="12" t="inlineStr">
        <is>
          <t>金币套餐</t>
        </is>
      </c>
      <c r="B5" s="12" t="inlineStr">
        <is>
          <t>Gcoin-648（28）</t>
        </is>
      </c>
      <c r="C5" s="7" t="n">
        <v>276</v>
      </c>
      <c r="D5" s="7" t="n">
        <v>163</v>
      </c>
      <c r="E5" s="7" t="n">
        <v>462</v>
      </c>
      <c r="F5" s="7" t="n">
        <v>265</v>
      </c>
      <c r="G5" s="7" t="n">
        <v>168</v>
      </c>
      <c r="H5" s="16" t="n">
        <v>108864</v>
      </c>
      <c r="I5" s="16" t="n">
        <v>99066.24000000001</v>
      </c>
      <c r="J5" s="17">
        <f>IFERROR(F5/D5,0)</f>
        <v/>
      </c>
      <c r="K5" s="17">
        <f>IFERROR(G5/F5,0)</f>
        <v/>
      </c>
      <c r="L5" s="17">
        <f>IFERROR(I5/SUM(I5:I16),0)</f>
        <v/>
      </c>
    </row>
    <row r="6">
      <c r="A6" s="12" t="inlineStr">
        <is>
          <t>金币套餐</t>
        </is>
      </c>
      <c r="B6" s="12" t="inlineStr">
        <is>
          <t>Gcoin-128（26）</t>
        </is>
      </c>
      <c r="C6" s="7" t="n">
        <v>502</v>
      </c>
      <c r="D6" s="7" t="n">
        <v>194</v>
      </c>
      <c r="E6" s="7" t="n">
        <v>1290</v>
      </c>
      <c r="F6" s="7" t="n">
        <v>680</v>
      </c>
      <c r="G6" s="7" t="n">
        <v>625</v>
      </c>
      <c r="H6" s="16" t="n">
        <v>80000</v>
      </c>
      <c r="I6" s="16" t="n">
        <v>72800</v>
      </c>
      <c r="J6" s="17">
        <f>IFERROR(F6/D6,0)</f>
        <v/>
      </c>
      <c r="K6" s="17">
        <f>IFERROR(G6/F6,0)</f>
        <v/>
      </c>
      <c r="L6" s="17">
        <f>IFERROR(I6/SUM(I5:I16),0)</f>
        <v/>
      </c>
    </row>
    <row r="7">
      <c r="A7" s="12" t="inlineStr">
        <is>
          <t>金币套餐</t>
        </is>
      </c>
      <c r="B7" s="12" t="inlineStr">
        <is>
          <t>Gcoin-30-新人（23）</t>
        </is>
      </c>
      <c r="C7" s="7" t="n">
        <v>2521</v>
      </c>
      <c r="D7" s="7" t="n">
        <v>1611</v>
      </c>
      <c r="E7" s="7" t="n">
        <v>5515</v>
      </c>
      <c r="F7" s="7" t="n">
        <v>4164</v>
      </c>
      <c r="G7" s="7" t="n">
        <v>2570</v>
      </c>
      <c r="H7" s="16" t="n">
        <v>77100</v>
      </c>
      <c r="I7" s="16" t="n">
        <v>70161</v>
      </c>
      <c r="J7" s="17">
        <f>IFERROR(F7/D7,0)</f>
        <v/>
      </c>
      <c r="K7" s="17">
        <f>IFERROR(G7/F7,0)</f>
        <v/>
      </c>
      <c r="L7" s="17">
        <f>IFERROR(I7/SUM(I5:I16),0)</f>
        <v/>
      </c>
    </row>
    <row r="8">
      <c r="A8" s="12" t="inlineStr">
        <is>
          <t>金币套餐</t>
        </is>
      </c>
      <c r="B8" s="12" t="inlineStr">
        <is>
          <t>Gcoin-30（24）</t>
        </is>
      </c>
      <c r="C8" s="7" t="n">
        <v>2144</v>
      </c>
      <c r="D8" s="7" t="n">
        <v>1426</v>
      </c>
      <c r="E8" s="7" t="n">
        <v>4536</v>
      </c>
      <c r="F8" s="7" t="n">
        <v>3200</v>
      </c>
      <c r="G8" s="7" t="n">
        <v>2473</v>
      </c>
      <c r="H8" s="16" t="n">
        <v>74190</v>
      </c>
      <c r="I8" s="16" t="n">
        <v>67512.89999999999</v>
      </c>
      <c r="J8" s="17">
        <f>IFERROR(F8/D8,0)</f>
        <v/>
      </c>
      <c r="K8" s="17">
        <f>IFERROR(G8/F8,0)</f>
        <v/>
      </c>
      <c r="L8" s="17">
        <f>IFERROR(I8/SUM(I5:I16),0)</f>
        <v/>
      </c>
    </row>
    <row r="9">
      <c r="A9" s="12" t="inlineStr">
        <is>
          <t>金币套餐</t>
        </is>
      </c>
      <c r="B9" s="12" t="inlineStr">
        <is>
          <t>Gcoin-60（25）</t>
        </is>
      </c>
      <c r="C9" s="7" t="n">
        <v>1434</v>
      </c>
      <c r="D9" s="7" t="n">
        <v>611</v>
      </c>
      <c r="E9" s="7" t="n">
        <v>1408</v>
      </c>
      <c r="F9" s="7" t="n">
        <v>962</v>
      </c>
      <c r="G9" s="7" t="n">
        <v>881</v>
      </c>
      <c r="H9" s="16" t="n">
        <v>52860</v>
      </c>
      <c r="I9" s="16" t="n">
        <v>48102.6</v>
      </c>
      <c r="J9" s="17">
        <f>IFERROR(F9/D9,0)</f>
        <v/>
      </c>
      <c r="K9" s="17">
        <f>IFERROR(G9/F9,0)</f>
        <v/>
      </c>
      <c r="L9" s="17">
        <f>IFERROR(I9/SUM(I5:I16),0)</f>
        <v/>
      </c>
    </row>
    <row r="10">
      <c r="A10" s="12" t="inlineStr">
        <is>
          <t>金币套餐</t>
        </is>
      </c>
      <c r="B10" s="12" t="inlineStr">
        <is>
          <t>Gcoin-328（27）</t>
        </is>
      </c>
      <c r="C10" s="7" t="n">
        <v>191</v>
      </c>
      <c r="D10" s="7" t="n">
        <v>111</v>
      </c>
      <c r="E10" s="7" t="n">
        <v>290</v>
      </c>
      <c r="F10" s="7" t="n">
        <v>176</v>
      </c>
      <c r="G10" s="7" t="n">
        <v>155</v>
      </c>
      <c r="H10" s="16" t="n">
        <v>50840</v>
      </c>
      <c r="I10" s="16" t="n">
        <v>46264.4</v>
      </c>
      <c r="J10" s="17">
        <f>IFERROR(F10/D10,0)</f>
        <v/>
      </c>
      <c r="K10" s="17">
        <f>IFERROR(G10/F10,0)</f>
        <v/>
      </c>
      <c r="L10" s="17">
        <f>IFERROR(I10/SUM(I5:I16),0)</f>
        <v/>
      </c>
    </row>
    <row r="11">
      <c r="A11" s="12" t="inlineStr">
        <is>
          <t>会员套餐</t>
        </is>
      </c>
      <c r="B11" s="12" t="inlineStr">
        <is>
          <t>月月畅享卡（9）</t>
        </is>
      </c>
      <c r="C11" s="7" t="n">
        <v>992</v>
      </c>
      <c r="D11" s="7" t="n">
        <v>458</v>
      </c>
      <c r="E11" s="7" t="n">
        <v>1133</v>
      </c>
      <c r="F11" s="7" t="n">
        <v>833</v>
      </c>
      <c r="G11" s="7" t="n">
        <v>709</v>
      </c>
      <c r="H11" s="16" t="n">
        <v>21270</v>
      </c>
      <c r="I11" s="16" t="n">
        <v>19355.7</v>
      </c>
      <c r="J11" s="17">
        <f>IFERROR(F11/D11,0)</f>
        <v/>
      </c>
      <c r="K11" s="17">
        <f>IFERROR(G11/F11,0)</f>
        <v/>
      </c>
      <c r="L11" s="17">
        <f>IFERROR(I11/SUM(I5:I16),0)</f>
        <v/>
      </c>
    </row>
    <row r="12">
      <c r="A12" s="12" t="inlineStr">
        <is>
          <t>会员套餐</t>
        </is>
      </c>
      <c r="B12" s="12" t="inlineStr">
        <is>
          <t>月月新人卡（21）</t>
        </is>
      </c>
      <c r="C12" s="7" t="n">
        <v>1013</v>
      </c>
      <c r="D12" s="7" t="n">
        <v>396</v>
      </c>
      <c r="E12" s="7" t="n">
        <v>1237</v>
      </c>
      <c r="F12" s="7" t="n">
        <v>905</v>
      </c>
      <c r="G12" s="7" t="n">
        <v>702</v>
      </c>
      <c r="H12" s="16" t="n">
        <v>21060</v>
      </c>
      <c r="I12" s="16" t="n">
        <v>19164.6</v>
      </c>
      <c r="J12" s="17">
        <f>IFERROR(F12/D12,0)</f>
        <v/>
      </c>
      <c r="K12" s="17">
        <f>IFERROR(G12/F12,0)</f>
        <v/>
      </c>
      <c r="L12" s="17">
        <f>IFERROR(I12/SUM(I5:I16),0)</f>
        <v/>
      </c>
    </row>
    <row r="13">
      <c r="A13" s="12" t="inlineStr">
        <is>
          <t>会员套餐</t>
        </is>
      </c>
      <c r="B13" s="12" t="inlineStr">
        <is>
          <t>季季畅享卡（10）</t>
        </is>
      </c>
      <c r="C13" s="7" t="n">
        <v>492</v>
      </c>
      <c r="D13" s="7" t="n">
        <v>200</v>
      </c>
      <c r="E13" s="7" t="n">
        <v>481</v>
      </c>
      <c r="F13" s="7" t="n">
        <v>257</v>
      </c>
      <c r="G13" s="7" t="n">
        <v>225</v>
      </c>
      <c r="H13" s="16" t="n">
        <v>19800</v>
      </c>
      <c r="I13" s="16" t="n">
        <v>18018</v>
      </c>
      <c r="J13" s="17">
        <f>IFERROR(F13/D13,0)</f>
        <v/>
      </c>
      <c r="K13" s="17">
        <f>IFERROR(G13/F13,0)</f>
        <v/>
      </c>
      <c r="L13" s="17">
        <f>IFERROR(I13/SUM(I5:I16),0)</f>
        <v/>
      </c>
    </row>
    <row r="14">
      <c r="A14" s="12" t="inlineStr">
        <is>
          <t>会员套餐</t>
        </is>
      </c>
      <c r="B14" s="12" t="inlineStr">
        <is>
          <t>尊享会员永久卡（11）</t>
        </is>
      </c>
      <c r="C14" s="7" t="n">
        <v>553</v>
      </c>
      <c r="D14" s="7" t="n">
        <v>302</v>
      </c>
      <c r="E14" s="7" t="n">
        <v>79</v>
      </c>
      <c r="F14" s="7" t="n">
        <v>66</v>
      </c>
      <c r="G14" s="7" t="n">
        <v>13</v>
      </c>
      <c r="H14" s="16" t="n">
        <v>6344</v>
      </c>
      <c r="I14" s="16" t="n">
        <v>5773.04</v>
      </c>
      <c r="J14" s="17">
        <f>IFERROR(F14/D14,0)</f>
        <v/>
      </c>
      <c r="K14" s="17">
        <f>IFERROR(G14/F14,0)</f>
        <v/>
      </c>
      <c r="L14" s="17">
        <f>IFERROR(I14/SUM(I5:I16),0)</f>
        <v/>
      </c>
    </row>
    <row r="15">
      <c r="A15" s="12" t="inlineStr">
        <is>
          <t>会员套餐</t>
        </is>
      </c>
      <c r="B15" s="12" t="inlineStr">
        <is>
          <t>尊享会员永久卡-新人（12）</t>
        </is>
      </c>
      <c r="C15" s="7" t="n">
        <v>528</v>
      </c>
      <c r="D15" s="7" t="n">
        <v>305</v>
      </c>
      <c r="E15" s="7" t="n">
        <v>66</v>
      </c>
      <c r="F15" s="7" t="n">
        <v>51</v>
      </c>
      <c r="G15" s="7" t="n">
        <v>14</v>
      </c>
      <c r="H15" s="16" t="n">
        <v>4872</v>
      </c>
      <c r="I15" s="16" t="n">
        <v>4433.52</v>
      </c>
      <c r="J15" s="17">
        <f>IFERROR(F15/D15,0)</f>
        <v/>
      </c>
      <c r="K15" s="17">
        <f>IFERROR(G15/F15,0)</f>
        <v/>
      </c>
      <c r="L15" s="17">
        <f>IFERROR(I15/SUM(I5:I16),0)</f>
        <v/>
      </c>
    </row>
    <row r="16">
      <c r="A16" s="12" t="inlineStr">
        <is>
          <t>金币套餐</t>
        </is>
      </c>
      <c r="B16" s="12" t="inlineStr">
        <is>
          <t>老友回归礼包（29）</t>
        </is>
      </c>
      <c r="C16" s="7" t="n">
        <v>14</v>
      </c>
      <c r="D16" s="7" t="n">
        <v>8</v>
      </c>
      <c r="E16" s="7" t="n">
        <v>126</v>
      </c>
      <c r="F16" s="7" t="n">
        <v>110</v>
      </c>
      <c r="G16" s="7" t="n">
        <v>9</v>
      </c>
      <c r="H16" s="16" t="n">
        <v>270</v>
      </c>
      <c r="I16" s="16" t="n">
        <v>245.7</v>
      </c>
      <c r="J16" s="17">
        <f>IFERROR(F16/D16,0)</f>
        <v/>
      </c>
      <c r="K16" s="17">
        <f>IFERROR(G16/F16,0)</f>
        <v/>
      </c>
      <c r="L16" s="17">
        <f>IFERROR(I16/SUM(I5:I16),0)</f>
        <v/>
      </c>
    </row>
    <row r="17">
      <c r="A17" s="18" t="inlineStr">
        <is>
          <t>合计</t>
        </is>
      </c>
      <c r="C17" s="19">
        <f>SUM(C5:C16)</f>
        <v/>
      </c>
      <c r="D17" s="19">
        <f>SUM(D5:D16)</f>
        <v/>
      </c>
      <c r="E17" s="19">
        <f>SUM(E5:E16)</f>
        <v/>
      </c>
      <c r="F17" s="19">
        <f>SUM(F5:F16)</f>
        <v/>
      </c>
      <c r="G17" s="19">
        <f>SUM(G5:G16)</f>
        <v/>
      </c>
      <c r="H17" s="19">
        <f>SUM(H5:H16)</f>
        <v/>
      </c>
      <c r="I17" s="20">
        <f>SUM(I5:I16)</f>
        <v/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网游 全 23 款（按充值金额排序，近 7 天 2026-05-21 ~ 2026-05-27）</t>
        </is>
      </c>
    </row>
    <row r="2">
      <c r="A2" s="2" t="inlineStr">
        <is>
          <t>来源：系统统计 &gt; 游戏统计；网游名单来自「网络游戏运营统计」共 48 款（其中 25 款 7 天 0 活跃，未列）</t>
        </is>
      </c>
    </row>
    <row r="4">
      <c r="A4" s="21" t="inlineStr">
        <is>
          <t>网游名</t>
        </is>
      </c>
      <c r="B4" s="21" t="inlineStr">
        <is>
          <t>注册</t>
        </is>
      </c>
      <c r="C4" s="21" t="inlineStr">
        <is>
          <t>日活</t>
        </is>
      </c>
      <c r="D4" s="21" t="inlineStr">
        <is>
          <t>下载</t>
        </is>
      </c>
      <c r="E4" s="21" t="inlineStr">
        <is>
          <t>充值金额</t>
        </is>
      </c>
      <c r="F4" s="21" t="inlineStr">
        <is>
          <t>消费G点</t>
        </is>
      </c>
      <c r="G4" s="21" t="inlineStr">
        <is>
          <t>注册付费人数</t>
        </is>
      </c>
      <c r="H4" s="21" t="inlineStr">
        <is>
          <t>注册付费金额</t>
        </is>
      </c>
      <c r="I4" s="21" t="inlineStr">
        <is>
          <t>留存付费人数</t>
        </is>
      </c>
      <c r="J4" s="21" t="inlineStr">
        <is>
          <t>留存付费金额</t>
        </is>
      </c>
      <c r="K4" s="21" t="inlineStr">
        <is>
          <t>充值人数</t>
        </is>
      </c>
      <c r="L4" s="11" t="inlineStr">
        <is>
          <t>付费率%</t>
        </is>
      </c>
      <c r="M4" s="11" t="inlineStr">
        <is>
          <t>ARPU</t>
        </is>
      </c>
      <c r="N4" s="11" t="inlineStr">
        <is>
          <t>ARPPU</t>
        </is>
      </c>
    </row>
    <row r="5">
      <c r="A5" s="12" t="inlineStr">
        <is>
          <t>性界大战（285）</t>
        </is>
      </c>
      <c r="B5" s="7" t="n">
        <v>46608</v>
      </c>
      <c r="C5" s="7" t="n">
        <v>96550</v>
      </c>
      <c r="D5" s="7" t="n">
        <v>16332</v>
      </c>
      <c r="E5" s="7" t="n">
        <v>207192</v>
      </c>
      <c r="F5" s="7" t="n">
        <v>2100760</v>
      </c>
      <c r="G5" s="7" t="n">
        <v>807</v>
      </c>
      <c r="H5" s="7" t="n">
        <v>46276</v>
      </c>
      <c r="I5" s="7" t="n">
        <v>1276</v>
      </c>
      <c r="J5" s="7" t="n">
        <v>160916</v>
      </c>
      <c r="K5" s="7" t="n">
        <v>2083</v>
      </c>
      <c r="L5" s="17">
        <f>IFERROR(K5/C5,0)</f>
        <v/>
      </c>
      <c r="M5" s="14">
        <f>IFERROR(E5/C5,0)</f>
        <v/>
      </c>
      <c r="N5" s="14">
        <f>IFERROR(E5/K5,0)</f>
        <v/>
      </c>
    </row>
    <row r="6">
      <c r="A6" s="12" t="inlineStr">
        <is>
          <t>欲洛降临（456）</t>
        </is>
      </c>
      <c r="B6" s="7" t="n">
        <v>29919</v>
      </c>
      <c r="C6" s="7" t="n">
        <v>52787</v>
      </c>
      <c r="D6" s="7" t="n">
        <v>14878</v>
      </c>
      <c r="E6" s="7" t="n">
        <v>72096</v>
      </c>
      <c r="F6" s="7" t="n">
        <v>641570</v>
      </c>
      <c r="G6" s="7" t="n">
        <v>320</v>
      </c>
      <c r="H6" s="7" t="n">
        <v>18474</v>
      </c>
      <c r="I6" s="7" t="n">
        <v>603</v>
      </c>
      <c r="J6" s="7" t="n">
        <v>53622</v>
      </c>
      <c r="K6" s="7" t="n">
        <v>923</v>
      </c>
      <c r="L6" s="17">
        <f>IFERROR(K6/C6,0)</f>
        <v/>
      </c>
      <c r="M6" s="14">
        <f>IFERROR(E6/C6,0)</f>
        <v/>
      </c>
      <c r="N6" s="14">
        <f>IFERROR(E6/K6,0)</f>
        <v/>
      </c>
    </row>
    <row r="7">
      <c r="A7" s="12" t="inlineStr">
        <is>
          <t>决战僵尸舞娘（501）</t>
        </is>
      </c>
      <c r="B7" s="7" t="n">
        <v>44066</v>
      </c>
      <c r="C7" s="7" t="n">
        <v>61181</v>
      </c>
      <c r="D7" s="7" t="n">
        <v>14348</v>
      </c>
      <c r="E7" s="7" t="n">
        <v>52654</v>
      </c>
      <c r="F7" s="7" t="n">
        <v>446600</v>
      </c>
      <c r="G7" s="7" t="n">
        <v>370</v>
      </c>
      <c r="H7" s="7" t="n">
        <v>21018</v>
      </c>
      <c r="I7" s="7" t="n">
        <v>473</v>
      </c>
      <c r="J7" s="7" t="n">
        <v>31636</v>
      </c>
      <c r="K7" s="7" t="n">
        <v>843</v>
      </c>
      <c r="L7" s="17">
        <f>IFERROR(K7/C7,0)</f>
        <v/>
      </c>
      <c r="M7" s="14">
        <f>IFERROR(E7/C7,0)</f>
        <v/>
      </c>
      <c r="N7" s="14">
        <f>IFERROR(E7/K7,0)</f>
        <v/>
      </c>
    </row>
    <row r="8">
      <c r="A8" s="12" t="inlineStr">
        <is>
          <t>淫欲斗罗（200）</t>
        </is>
      </c>
      <c r="B8" s="7" t="n">
        <v>2372</v>
      </c>
      <c r="C8" s="7" t="n">
        <v>7378</v>
      </c>
      <c r="D8" s="7" t="n">
        <v>4574</v>
      </c>
      <c r="E8" s="7" t="n">
        <v>13302</v>
      </c>
      <c r="F8" s="7" t="n">
        <v>143590</v>
      </c>
      <c r="G8" s="7" t="n">
        <v>8</v>
      </c>
      <c r="H8" s="7" t="n">
        <v>240</v>
      </c>
      <c r="I8" s="7" t="n">
        <v>115</v>
      </c>
      <c r="J8" s="7" t="n">
        <v>13062</v>
      </c>
      <c r="K8" s="7" t="n">
        <v>123</v>
      </c>
      <c r="L8" s="17">
        <f>IFERROR(K8/C8,0)</f>
        <v/>
      </c>
      <c r="M8" s="14">
        <f>IFERROR(E8/C8,0)</f>
        <v/>
      </c>
      <c r="N8" s="14">
        <f>IFERROR(E8/K8,0)</f>
        <v/>
      </c>
    </row>
    <row r="9">
      <c r="A9" s="12" t="inlineStr">
        <is>
          <t>青楼大掌柜（147）</t>
        </is>
      </c>
      <c r="B9" s="7" t="n">
        <v>3910</v>
      </c>
      <c r="C9" s="7" t="n">
        <v>11926</v>
      </c>
      <c r="D9" s="7" t="n">
        <v>18006</v>
      </c>
      <c r="E9" s="7" t="n">
        <v>12384</v>
      </c>
      <c r="F9" s="7" t="n">
        <v>133386</v>
      </c>
      <c r="G9" s="7" t="n">
        <v>35</v>
      </c>
      <c r="H9" s="7" t="n">
        <v>1380</v>
      </c>
      <c r="I9" s="7" t="n">
        <v>88</v>
      </c>
      <c r="J9" s="7" t="n">
        <v>11004</v>
      </c>
      <c r="K9" s="7" t="n">
        <v>123</v>
      </c>
      <c r="L9" s="17">
        <f>IFERROR(K9/C9,0)</f>
        <v/>
      </c>
      <c r="M9" s="14">
        <f>IFERROR(E9/C9,0)</f>
        <v/>
      </c>
      <c r="N9" s="14">
        <f>IFERROR(E9/K9,0)</f>
        <v/>
      </c>
    </row>
    <row r="10">
      <c r="A10" s="12" t="inlineStr">
        <is>
          <t>火影娇妻村（151）</t>
        </is>
      </c>
      <c r="B10" s="7" t="n">
        <v>4063</v>
      </c>
      <c r="C10" s="7" t="n">
        <v>6505</v>
      </c>
      <c r="D10" s="7" t="n">
        <v>7632</v>
      </c>
      <c r="E10" s="7" t="n">
        <v>11206</v>
      </c>
      <c r="F10" s="7" t="n">
        <v>116630</v>
      </c>
      <c r="G10" s="7" t="n">
        <v>34</v>
      </c>
      <c r="H10" s="7" t="n">
        <v>2604</v>
      </c>
      <c r="I10" s="7" t="n">
        <v>66</v>
      </c>
      <c r="J10" s="7" t="n">
        <v>8602</v>
      </c>
      <c r="K10" s="7" t="n">
        <v>100</v>
      </c>
      <c r="L10" s="17">
        <f>IFERROR(K10/C10,0)</f>
        <v/>
      </c>
      <c r="M10" s="14">
        <f>IFERROR(E10/C10,0)</f>
        <v/>
      </c>
      <c r="N10" s="14">
        <f>IFERROR(E10/K10,0)</f>
        <v/>
      </c>
    </row>
    <row r="11">
      <c r="A11" s="12" t="inlineStr">
        <is>
          <t>异世界后宫物语（489）</t>
        </is>
      </c>
      <c r="B11" s="7" t="n">
        <v>1015</v>
      </c>
      <c r="C11" s="7" t="n">
        <v>3147</v>
      </c>
      <c r="D11" s="7" t="n">
        <v>2275</v>
      </c>
      <c r="E11" s="7" t="n">
        <v>10270</v>
      </c>
      <c r="F11" s="7" t="n">
        <v>110680</v>
      </c>
      <c r="G11" s="7" t="n">
        <v>10</v>
      </c>
      <c r="H11" s="7" t="n">
        <v>1126</v>
      </c>
      <c r="I11" s="7" t="n">
        <v>36</v>
      </c>
      <c r="J11" s="7" t="n">
        <v>9144</v>
      </c>
      <c r="K11" s="7" t="n">
        <v>46</v>
      </c>
      <c r="L11" s="17">
        <f>IFERROR(K11/C11,0)</f>
        <v/>
      </c>
      <c r="M11" s="14">
        <f>IFERROR(E11/C11,0)</f>
        <v/>
      </c>
      <c r="N11" s="14">
        <f>IFERROR(E11/K11,0)</f>
        <v/>
      </c>
    </row>
    <row r="12">
      <c r="A12" s="12" t="inlineStr">
        <is>
          <t>淫娘X计划 BT版（383）</t>
        </is>
      </c>
      <c r="B12" s="7" t="n">
        <v>4503</v>
      </c>
      <c r="C12" s="7" t="n">
        <v>4897</v>
      </c>
      <c r="D12" s="7" t="n">
        <v>9213</v>
      </c>
      <c r="E12" s="7" t="n">
        <v>8552</v>
      </c>
      <c r="F12" s="7" t="n">
        <v>78756</v>
      </c>
      <c r="G12" s="7" t="n">
        <v>67</v>
      </c>
      <c r="H12" s="7" t="n">
        <v>3202</v>
      </c>
      <c r="I12" s="7" t="n">
        <v>90</v>
      </c>
      <c r="J12" s="7" t="n">
        <v>5350</v>
      </c>
      <c r="K12" s="7" t="n">
        <v>157</v>
      </c>
      <c r="L12" s="17">
        <f>IFERROR(K12/C12,0)</f>
        <v/>
      </c>
      <c r="M12" s="14">
        <f>IFERROR(E12/C12,0)</f>
        <v/>
      </c>
      <c r="N12" s="14">
        <f>IFERROR(E12/K12,0)</f>
        <v/>
      </c>
    </row>
    <row r="13">
      <c r="A13" s="12" t="inlineStr">
        <is>
          <t>欲女神话（150）</t>
        </is>
      </c>
      <c r="B13" s="7" t="n">
        <v>780</v>
      </c>
      <c r="C13" s="7" t="n">
        <v>1598</v>
      </c>
      <c r="D13" s="7" t="n">
        <v>2650</v>
      </c>
      <c r="E13" s="7" t="n">
        <v>6804</v>
      </c>
      <c r="F13" s="7" t="n">
        <v>58660</v>
      </c>
      <c r="G13" s="7" t="n">
        <v>8</v>
      </c>
      <c r="H13" s="7" t="n">
        <v>456</v>
      </c>
      <c r="I13" s="7" t="n">
        <v>40</v>
      </c>
      <c r="J13" s="7" t="n">
        <v>6348</v>
      </c>
      <c r="K13" s="7" t="n">
        <v>48</v>
      </c>
      <c r="L13" s="17">
        <f>IFERROR(K13/C13,0)</f>
        <v/>
      </c>
      <c r="M13" s="14">
        <f>IFERROR(E13/C13,0)</f>
        <v/>
      </c>
      <c r="N13" s="14">
        <f>IFERROR(E13/K13,0)</f>
        <v/>
      </c>
    </row>
    <row r="14">
      <c r="A14" s="12" t="inlineStr">
        <is>
          <t>全明星动漫乐园（175）</t>
        </is>
      </c>
      <c r="B14" s="7" t="n">
        <v>1942</v>
      </c>
      <c r="C14" s="7" t="n">
        <v>4050</v>
      </c>
      <c r="D14" s="7" t="n">
        <v>3953</v>
      </c>
      <c r="E14" s="7" t="n">
        <v>5346</v>
      </c>
      <c r="F14" s="7" t="n">
        <v>56450</v>
      </c>
      <c r="G14" s="7" t="n">
        <v>16</v>
      </c>
      <c r="H14" s="7" t="n">
        <v>2456</v>
      </c>
      <c r="I14" s="7" t="n">
        <v>30</v>
      </c>
      <c r="J14" s="7" t="n">
        <v>2890</v>
      </c>
      <c r="K14" s="7" t="n">
        <v>46</v>
      </c>
      <c r="L14" s="17">
        <f>IFERROR(K14/C14,0)</f>
        <v/>
      </c>
      <c r="M14" s="14">
        <f>IFERROR(E14/C14,0)</f>
        <v/>
      </c>
      <c r="N14" s="14">
        <f>IFERROR(E14/K14,0)</f>
        <v/>
      </c>
    </row>
    <row r="15">
      <c r="A15" s="12" t="inlineStr">
        <is>
          <t>魅惑前线（273）</t>
        </is>
      </c>
      <c r="B15" s="7" t="n">
        <v>1853</v>
      </c>
      <c r="C15" s="7" t="n">
        <v>4619</v>
      </c>
      <c r="D15" s="7" t="n">
        <v>4064</v>
      </c>
      <c r="E15" s="7" t="n">
        <v>3962</v>
      </c>
      <c r="F15" s="7" t="n">
        <v>46130</v>
      </c>
      <c r="G15" s="7" t="n">
        <v>9</v>
      </c>
      <c r="H15" s="7" t="n">
        <v>398</v>
      </c>
      <c r="I15" s="7" t="n">
        <v>44</v>
      </c>
      <c r="J15" s="7" t="n">
        <v>3564</v>
      </c>
      <c r="K15" s="7" t="n">
        <v>53</v>
      </c>
      <c r="L15" s="17">
        <f>IFERROR(K15/C15,0)</f>
        <v/>
      </c>
      <c r="M15" s="14">
        <f>IFERROR(E15/C15,0)</f>
        <v/>
      </c>
      <c r="N15" s="14">
        <f>IFERROR(E15/K15,0)</f>
        <v/>
      </c>
    </row>
    <row r="16">
      <c r="A16" s="12" t="inlineStr">
        <is>
          <t>18禁宝可梦（170）</t>
        </is>
      </c>
      <c r="B16" s="7" t="n">
        <v>1417</v>
      </c>
      <c r="C16" s="7" t="n">
        <v>4849</v>
      </c>
      <c r="D16" s="7" t="n">
        <v>2726</v>
      </c>
      <c r="E16" s="7" t="n">
        <v>3400</v>
      </c>
      <c r="F16" s="7" t="n">
        <v>33550</v>
      </c>
      <c r="G16" s="7" t="n">
        <v>15</v>
      </c>
      <c r="H16" s="7" t="n">
        <v>930</v>
      </c>
      <c r="I16" s="7" t="n">
        <v>45</v>
      </c>
      <c r="J16" s="7" t="n">
        <v>2470</v>
      </c>
      <c r="K16" s="7" t="n">
        <v>60</v>
      </c>
      <c r="L16" s="17">
        <f>IFERROR(K16/C16,0)</f>
        <v/>
      </c>
      <c r="M16" s="14">
        <f>IFERROR(E16/C16,0)</f>
        <v/>
      </c>
      <c r="N16" s="14">
        <f>IFERROR(E16/K16,0)</f>
        <v/>
      </c>
    </row>
    <row r="17">
      <c r="A17" s="12" t="inlineStr">
        <is>
          <t>解禁无双（163）</t>
        </is>
      </c>
      <c r="B17" s="7" t="n">
        <v>950</v>
      </c>
      <c r="C17" s="7" t="n">
        <v>2116</v>
      </c>
      <c r="D17" s="7" t="n">
        <v>2035</v>
      </c>
      <c r="E17" s="7" t="n">
        <v>2746</v>
      </c>
      <c r="F17" s="7" t="n">
        <v>48500</v>
      </c>
      <c r="G17" s="7" t="n">
        <v>11</v>
      </c>
      <c r="H17" s="7" t="n">
        <v>478</v>
      </c>
      <c r="I17" s="7" t="n">
        <v>12</v>
      </c>
      <c r="J17" s="7" t="n">
        <v>2268</v>
      </c>
      <c r="K17" s="7" t="n">
        <v>23</v>
      </c>
      <c r="L17" s="17">
        <f>IFERROR(K17/C17,0)</f>
        <v/>
      </c>
      <c r="M17" s="14">
        <f>IFERROR(E17/C17,0)</f>
        <v/>
      </c>
      <c r="N17" s="14">
        <f>IFERROR(E17/K17,0)</f>
        <v/>
      </c>
    </row>
    <row r="18">
      <c r="A18" s="12" t="inlineStr">
        <is>
          <t>欲界圣姬（148）</t>
        </is>
      </c>
      <c r="B18" s="7" t="n">
        <v>699</v>
      </c>
      <c r="C18" s="7" t="n">
        <v>2781</v>
      </c>
      <c r="D18" s="7" t="n">
        <v>1590</v>
      </c>
      <c r="E18" s="7" t="n">
        <v>2032</v>
      </c>
      <c r="F18" s="7" t="n">
        <v>39410</v>
      </c>
      <c r="G18" s="7" t="n">
        <v>7</v>
      </c>
      <c r="H18" s="7" t="n">
        <v>300</v>
      </c>
      <c r="I18" s="7" t="n">
        <v>17</v>
      </c>
      <c r="J18" s="7" t="n">
        <v>1732</v>
      </c>
      <c r="K18" s="7" t="n">
        <v>24</v>
      </c>
      <c r="L18" s="17">
        <f>IFERROR(K18/C18,0)</f>
        <v/>
      </c>
      <c r="M18" s="14">
        <f>IFERROR(E18/C18,0)</f>
        <v/>
      </c>
      <c r="N18" s="14">
        <f>IFERROR(E18/K18,0)</f>
        <v/>
      </c>
    </row>
    <row r="19">
      <c r="A19" s="12" t="inlineStr">
        <is>
          <t>君临天下（354）</t>
        </is>
      </c>
      <c r="B19" s="7" t="n">
        <v>1237</v>
      </c>
      <c r="C19" s="7" t="n">
        <v>1768</v>
      </c>
      <c r="D19" s="7" t="n">
        <v>2557</v>
      </c>
      <c r="E19" s="7" t="n">
        <v>1370</v>
      </c>
      <c r="F19" s="7" t="n">
        <v>16700</v>
      </c>
      <c r="G19" s="7" t="n">
        <v>3</v>
      </c>
      <c r="H19" s="7" t="n">
        <v>120</v>
      </c>
      <c r="I19" s="7" t="n">
        <v>17</v>
      </c>
      <c r="J19" s="7" t="n">
        <v>1250</v>
      </c>
      <c r="K19" s="7" t="n">
        <v>20</v>
      </c>
      <c r="L19" s="17">
        <f>IFERROR(K19/C19,0)</f>
        <v/>
      </c>
      <c r="M19" s="14">
        <f>IFERROR(E19/C19,0)</f>
        <v/>
      </c>
      <c r="N19" s="14">
        <f>IFERROR(E19/K19,0)</f>
        <v/>
      </c>
    </row>
    <row r="20">
      <c r="A20" s="12" t="inlineStr">
        <is>
          <t>破晓之约（276）</t>
        </is>
      </c>
      <c r="B20" s="7" t="n">
        <v>689</v>
      </c>
      <c r="C20" s="7" t="n">
        <v>1720</v>
      </c>
      <c r="D20" s="7" t="n">
        <v>1421</v>
      </c>
      <c r="E20" s="7" t="n">
        <v>862</v>
      </c>
      <c r="F20" s="7" t="n">
        <v>7000</v>
      </c>
      <c r="G20" s="7" t="n">
        <v>4</v>
      </c>
      <c r="H20" s="7" t="n">
        <v>120</v>
      </c>
      <c r="I20" s="7" t="n">
        <v>12</v>
      </c>
      <c r="J20" s="7" t="n">
        <v>742</v>
      </c>
      <c r="K20" s="7" t="n">
        <v>16</v>
      </c>
      <c r="L20" s="17">
        <f>IFERROR(K20/C20,0)</f>
        <v/>
      </c>
      <c r="M20" s="14">
        <f>IFERROR(E20/C20,0)</f>
        <v/>
      </c>
      <c r="N20" s="14">
        <f>IFERROR(E20/K20,0)</f>
        <v/>
      </c>
    </row>
    <row r="21">
      <c r="A21" s="12" t="inlineStr">
        <is>
          <t>魂姬乱舞（219）</t>
        </is>
      </c>
      <c r="B21" s="7" t="n">
        <v>403</v>
      </c>
      <c r="C21" s="7" t="n">
        <v>647</v>
      </c>
      <c r="D21" s="7" t="n">
        <v>1015</v>
      </c>
      <c r="E21" s="7" t="n">
        <v>776</v>
      </c>
      <c r="F21" s="7" t="n">
        <v>1840</v>
      </c>
      <c r="G21" s="7" t="n">
        <v>0</v>
      </c>
      <c r="H21" s="7" t="n">
        <v>0</v>
      </c>
      <c r="I21" s="7" t="n">
        <v>2</v>
      </c>
      <c r="J21" s="7" t="n">
        <v>776</v>
      </c>
      <c r="K21" s="7" t="n">
        <v>2</v>
      </c>
      <c r="L21" s="17">
        <f>IFERROR(K21/C21,0)</f>
        <v/>
      </c>
      <c r="M21" s="14">
        <f>IFERROR(E21/C21,0)</f>
        <v/>
      </c>
      <c r="N21" s="14">
        <f>IFERROR(E21/K21,0)</f>
        <v/>
      </c>
    </row>
    <row r="22">
      <c r="A22" s="12" t="inlineStr">
        <is>
          <t>七龍珠H（218）</t>
        </is>
      </c>
      <c r="B22" s="7" t="n">
        <v>435</v>
      </c>
      <c r="C22" s="7" t="n">
        <v>849</v>
      </c>
      <c r="D22" s="7" t="n">
        <v>934</v>
      </c>
      <c r="E22" s="7" t="n">
        <v>210</v>
      </c>
      <c r="F22" s="7" t="n">
        <v>1880</v>
      </c>
      <c r="G22" s="7" t="n">
        <v>2</v>
      </c>
      <c r="H22" s="7" t="n">
        <v>60</v>
      </c>
      <c r="I22" s="7" t="n">
        <v>4</v>
      </c>
      <c r="J22" s="7" t="n">
        <v>150</v>
      </c>
      <c r="K22" s="7" t="n">
        <v>6</v>
      </c>
      <c r="L22" s="17">
        <f>IFERROR(K22/C22,0)</f>
        <v/>
      </c>
      <c r="M22" s="14">
        <f>IFERROR(E22/C22,0)</f>
        <v/>
      </c>
      <c r="N22" s="14">
        <f>IFERROR(E22/K22,0)</f>
        <v/>
      </c>
    </row>
    <row r="23">
      <c r="A23" s="12" t="inlineStr">
        <is>
          <t>姬霸天下（220）</t>
        </is>
      </c>
      <c r="B23" s="7" t="n">
        <v>374</v>
      </c>
      <c r="C23" s="7" t="n">
        <v>581</v>
      </c>
      <c r="D23" s="7" t="n">
        <v>961</v>
      </c>
      <c r="E23" s="7" t="n">
        <v>150</v>
      </c>
      <c r="F23" s="7" t="n">
        <v>1220</v>
      </c>
      <c r="G23" s="7" t="n">
        <v>2</v>
      </c>
      <c r="H23" s="7" t="n">
        <v>150</v>
      </c>
      <c r="I23" s="7" t="n">
        <v>0</v>
      </c>
      <c r="J23" s="7" t="n">
        <v>0</v>
      </c>
      <c r="K23" s="7" t="n">
        <v>2</v>
      </c>
      <c r="L23" s="17">
        <f>IFERROR(K23/C23,0)</f>
        <v/>
      </c>
      <c r="M23" s="14">
        <f>IFERROR(E23/C23,0)</f>
        <v/>
      </c>
      <c r="N23" s="14">
        <f>IFERROR(E23/K23,0)</f>
        <v/>
      </c>
    </row>
    <row r="24">
      <c r="A24" s="12" t="inlineStr">
        <is>
          <t>倍率高潮（253）</t>
        </is>
      </c>
      <c r="B24" s="7" t="n">
        <v>3</v>
      </c>
      <c r="C24" s="7" t="n">
        <v>9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17">
        <f>IFERROR(K24/C24,0)</f>
        <v/>
      </c>
      <c r="M24" s="14">
        <f>IFERROR(E24/C24,0)</f>
        <v/>
      </c>
      <c r="N24" s="14">
        <f>IFERROR(E24/K24,0)</f>
        <v/>
      </c>
    </row>
    <row r="25">
      <c r="A25" s="12" t="inlineStr">
        <is>
          <t>淫魔纹章（254）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17">
        <f>IFERROR(K25/C25,0)</f>
        <v/>
      </c>
      <c r="M25" s="14">
        <f>IFERROR(E25/C25,0)</f>
        <v/>
      </c>
      <c r="N25" s="14">
        <f>IFERROR(E25/K25,0)</f>
        <v/>
      </c>
    </row>
    <row r="26">
      <c r="A26" s="12" t="inlineStr">
        <is>
          <t>77ai（473）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17">
        <f>IFERROR(K26/C26,0)</f>
        <v/>
      </c>
      <c r="M26" s="14">
        <f>IFERROR(E26/C26,0)</f>
        <v/>
      </c>
      <c r="N26" s="14">
        <f>IFERROR(E26/K26,0)</f>
        <v/>
      </c>
    </row>
    <row r="27">
      <c r="A27" s="12" t="inlineStr">
        <is>
          <t>HappyAI（515）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17">
        <f>IFERROR(K27/C27,0)</f>
        <v/>
      </c>
      <c r="M27" s="14">
        <f>IFERROR(E27/C27,0)</f>
        <v/>
      </c>
      <c r="N27" s="14">
        <f>IFERROR(E27/K27,0)</f>
        <v/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单机 TOP 20（按消费 G 点排序，近 7 天 2026-05-21 ~ 2026-05-27）</t>
        </is>
      </c>
    </row>
    <row r="2">
      <c r="A2" s="2" t="inlineStr">
        <is>
          <t>来源：系统统计 &gt; 游戏统计（剔除"网络游戏运营统计"中的游戏后剩下的即单机）</t>
        </is>
      </c>
    </row>
    <row r="3">
      <c r="A3" s="22" t="inlineStr">
        <is>
          <t>⚠️ 单机"充值金额"列全 0，销售额衡量以"消费 G 点"为准（用户下单机付的是 G 点）</t>
        </is>
      </c>
    </row>
    <row r="5">
      <c r="A5" s="21" t="inlineStr">
        <is>
          <t>单机名</t>
        </is>
      </c>
      <c r="B5" s="21" t="inlineStr">
        <is>
          <t>下载量</t>
        </is>
      </c>
      <c r="C5" s="21" t="inlineStr">
        <is>
          <t>消费G点</t>
        </is>
      </c>
      <c r="D5" s="21" t="inlineStr">
        <is>
          <t>首次付费人数</t>
        </is>
      </c>
      <c r="E5" s="21" t="inlineStr">
        <is>
          <t>件均G点</t>
        </is>
      </c>
    </row>
    <row r="6">
      <c r="A6" s="12" t="inlineStr">
        <is>
          <t>惩罚少女R（452）</t>
        </is>
      </c>
      <c r="B6" s="7" t="n">
        <v>163</v>
      </c>
      <c r="C6" s="7" t="n">
        <v>39060</v>
      </c>
      <c r="D6" s="7" t="n">
        <v>0</v>
      </c>
      <c r="E6" s="23">
        <f>IFERROR(C6/B6,0)</f>
        <v/>
      </c>
    </row>
    <row r="7">
      <c r="A7" s="12" t="inlineStr">
        <is>
          <t>我的幸福人生（357）</t>
        </is>
      </c>
      <c r="B7" s="7" t="n">
        <v>185</v>
      </c>
      <c r="C7" s="7" t="n">
        <v>36354</v>
      </c>
      <c r="D7" s="7" t="n">
        <v>0</v>
      </c>
      <c r="E7" s="23">
        <f>IFERROR(C7/B7,0)</f>
        <v/>
      </c>
    </row>
    <row r="8">
      <c r="A8" s="12" t="inlineStr">
        <is>
          <t>同居生活（536）</t>
        </is>
      </c>
      <c r="B8" s="7" t="n">
        <v>170</v>
      </c>
      <c r="C8" s="7" t="n">
        <v>26069</v>
      </c>
      <c r="D8" s="7" t="n">
        <v>0</v>
      </c>
      <c r="E8" s="23">
        <f>IFERROR(C8/B8,0)</f>
        <v/>
      </c>
    </row>
    <row r="9">
      <c r="A9" s="12" t="inlineStr">
        <is>
          <t>（女拳主義F-ist!）说着国语拳手征服全是顶级女拳的世界（309）</t>
        </is>
      </c>
      <c r="B9" s="7" t="n">
        <v>74</v>
      </c>
      <c r="C9" s="7" t="n">
        <v>18668</v>
      </c>
      <c r="D9" s="7" t="n">
        <v>0</v>
      </c>
      <c r="E9" s="23">
        <f>IFERROR(C9/B9,0)</f>
        <v/>
      </c>
    </row>
    <row r="10">
      <c r="A10" s="12" t="inlineStr">
        <is>
          <t>爱撒娇的妹妹两人独处的甜蜜性爱生活（388）</t>
        </is>
      </c>
      <c r="B10" s="7" t="n">
        <v>102</v>
      </c>
      <c r="C10" s="7" t="n">
        <v>17082</v>
      </c>
      <c r="D10" s="7" t="n">
        <v>0</v>
      </c>
      <c r="E10" s="23">
        <f>IFERROR(C10/B10,0)</f>
        <v/>
      </c>
    </row>
    <row r="11">
      <c r="A11" s="12" t="inlineStr">
        <is>
          <t>用洗脑APP调教清纯大小姐的模拟游戏（377）</t>
        </is>
      </c>
      <c r="B11" s="7" t="n">
        <v>86</v>
      </c>
      <c r="C11" s="7" t="n">
        <v>15111</v>
      </c>
      <c r="D11" s="7" t="n">
        <v>0</v>
      </c>
      <c r="E11" s="23">
        <f>IFERROR(C11/B11,0)</f>
        <v/>
      </c>
    </row>
    <row r="12">
      <c r="A12" s="12" t="inlineStr">
        <is>
          <t>奥特曼的禁断肉棒征服（440）</t>
        </is>
      </c>
      <c r="B12" s="7" t="n">
        <v>69</v>
      </c>
      <c r="C12" s="7" t="n">
        <v>14993</v>
      </c>
      <c r="D12" s="7" t="n">
        <v>0</v>
      </c>
      <c r="E12" s="23">
        <f>IFERROR(C12/B12,0)</f>
        <v/>
      </c>
    </row>
    <row r="13">
      <c r="A13" s="12" t="inlineStr">
        <is>
          <t>甜蜜女友3（275）</t>
        </is>
      </c>
      <c r="B13" s="7" t="n">
        <v>46</v>
      </c>
      <c r="C13" s="7" t="n">
        <v>13299</v>
      </c>
      <c r="D13" s="7" t="n">
        <v>0</v>
      </c>
      <c r="E13" s="23">
        <f>IFERROR(C13/B13,0)</f>
        <v/>
      </c>
    </row>
    <row r="14">
      <c r="A14" s="12" t="inlineStr">
        <is>
          <t>淫乱性奴调教计划（199）</t>
        </is>
      </c>
      <c r="B14" s="7" t="n">
        <v>63</v>
      </c>
      <c r="C14" s="7" t="n">
        <v>13181</v>
      </c>
      <c r="D14" s="7" t="n">
        <v>0</v>
      </c>
      <c r="E14" s="23">
        <f>IFERROR(C14/B14,0)</f>
        <v/>
      </c>
    </row>
    <row r="15">
      <c r="A15" s="12" t="inlineStr">
        <is>
          <t>逆转系统ver.100（328）</t>
        </is>
      </c>
      <c r="B15" s="7" t="n">
        <v>69</v>
      </c>
      <c r="C15" s="7" t="n">
        <v>12051</v>
      </c>
      <c r="D15" s="7" t="n">
        <v>0</v>
      </c>
      <c r="E15" s="23">
        <f>IFERROR(C15/B15,0)</f>
        <v/>
      </c>
    </row>
    <row r="16">
      <c r="A16" s="12" t="inlineStr">
        <is>
          <t>H版宝可梦：一次性交易大师（310）</t>
        </is>
      </c>
      <c r="B16" s="7" t="n">
        <v>55</v>
      </c>
      <c r="C16" s="7" t="n">
        <v>11960</v>
      </c>
      <c r="D16" s="7" t="n">
        <v>0</v>
      </c>
      <c r="E16" s="23">
        <f>IFERROR(C16/B16,0)</f>
        <v/>
      </c>
    </row>
    <row r="17">
      <c r="A17" s="12" t="inlineStr">
        <is>
          <t>星穹轨道-旅行Star Railed（325）</t>
        </is>
      </c>
      <c r="B17" s="7" t="n">
        <v>57</v>
      </c>
      <c r="C17" s="7" t="n">
        <v>11560</v>
      </c>
      <c r="D17" s="7" t="n">
        <v>0</v>
      </c>
      <c r="E17" s="23">
        <f>IFERROR(C17/B17,0)</f>
        <v/>
      </c>
    </row>
    <row r="18">
      <c r="A18" s="12" t="inlineStr">
        <is>
          <t>随时配种（105）</t>
        </is>
      </c>
      <c r="B18" s="7" t="n">
        <v>57</v>
      </c>
      <c r="C18" s="7" t="n">
        <v>11233</v>
      </c>
      <c r="D18" s="7" t="n">
        <v>0</v>
      </c>
      <c r="E18" s="23">
        <f>IFERROR(C18/B18,0)</f>
        <v/>
      </c>
    </row>
    <row r="19">
      <c r="A19" s="12" t="inlineStr">
        <is>
          <t>鬼畜义父之姐妹條教!（339）</t>
        </is>
      </c>
      <c r="B19" s="7" t="n">
        <v>54</v>
      </c>
      <c r="C19" s="7" t="n">
        <v>10277</v>
      </c>
      <c r="D19" s="7" t="n">
        <v>0</v>
      </c>
      <c r="E19" s="23">
        <f>IFERROR(C19/B19,0)</f>
        <v/>
      </c>
    </row>
    <row r="20">
      <c r="A20" s="12" t="inlineStr">
        <is>
          <t>认真的优等生竟然悄悄的记录自慰笔记（41）</t>
        </is>
      </c>
      <c r="B20" s="7" t="n">
        <v>41</v>
      </c>
      <c r="C20" s="7" t="n">
        <v>10115</v>
      </c>
      <c r="D20" s="7" t="n">
        <v>0</v>
      </c>
      <c r="E20" s="23">
        <f>IFERROR(C20/B20,0)</f>
        <v/>
      </c>
    </row>
    <row r="21">
      <c r="A21" s="12" t="inlineStr">
        <is>
          <t>防身术道场秘密的NTR课程（136）</t>
        </is>
      </c>
      <c r="B21" s="7" t="n">
        <v>29</v>
      </c>
      <c r="C21" s="7" t="n">
        <v>9867</v>
      </c>
      <c r="D21" s="7" t="n">
        <v>0</v>
      </c>
      <c r="E21" s="23">
        <f>IFERROR(C21/B21,0)</f>
        <v/>
      </c>
    </row>
    <row r="22">
      <c r="A22" s="12" t="inlineStr">
        <is>
          <t>地下偶像教育录（478）</t>
        </is>
      </c>
      <c r="B22" s="7" t="n">
        <v>58</v>
      </c>
      <c r="C22" s="7" t="n">
        <v>9799</v>
      </c>
      <c r="D22" s="7" t="n">
        <v>0</v>
      </c>
      <c r="E22" s="23">
        <f>IFERROR(C22/B22,0)</f>
        <v/>
      </c>
    </row>
    <row r="23">
      <c r="A23" s="12" t="inlineStr">
        <is>
          <t>艳妻沉沦（334）</t>
        </is>
      </c>
      <c r="B23" s="7" t="n">
        <v>55</v>
      </c>
      <c r="C23" s="7" t="n">
        <v>9560</v>
      </c>
      <c r="D23" s="7" t="n">
        <v>0</v>
      </c>
      <c r="E23" s="23">
        <f>IFERROR(C23/B23,0)</f>
        <v/>
      </c>
    </row>
    <row r="24">
      <c r="A24" s="12" t="inlineStr">
        <is>
          <t>女仆調教日誌（142）</t>
        </is>
      </c>
      <c r="B24" s="7" t="n">
        <v>50</v>
      </c>
      <c r="C24" s="7" t="n">
        <v>8778</v>
      </c>
      <c r="D24" s="7" t="n">
        <v>0</v>
      </c>
      <c r="E24" s="23">
        <f>IFERROR(C24/B24,0)</f>
        <v/>
      </c>
    </row>
    <row r="25">
      <c r="A25" s="12" t="inlineStr">
        <is>
          <t>请让我高潮：魅魔葵夜（503）</t>
        </is>
      </c>
      <c r="B25" s="7" t="n">
        <v>52</v>
      </c>
      <c r="C25" s="7" t="n">
        <v>8541</v>
      </c>
      <c r="D25" s="7" t="n">
        <v>0</v>
      </c>
      <c r="E25" s="23">
        <f>IFERROR(C25/B25,0)</f>
        <v/>
      </c>
    </row>
  </sheetData>
  <mergeCells count="3">
    <mergeCell ref="A3:F3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渠道 TOP 19（按充值金额排序，近 7 天 2026-05-21 ~ 2026-05-27）</t>
        </is>
      </c>
    </row>
    <row r="2">
      <c r="A2" s="2" t="inlineStr">
        <is>
          <t>来源：系统统计 &gt; 渠道统计</t>
        </is>
      </c>
    </row>
    <row r="4">
      <c r="A4" s="21" t="inlineStr">
        <is>
          <t>渠道码</t>
        </is>
      </c>
      <c r="B4" s="21" t="inlineStr">
        <is>
          <t>注册</t>
        </is>
      </c>
      <c r="C4" s="21" t="inlineStr">
        <is>
          <t>日活</t>
        </is>
      </c>
      <c r="D4" s="21" t="inlineStr">
        <is>
          <t>下载</t>
        </is>
      </c>
      <c r="E4" s="21" t="inlineStr">
        <is>
          <t>充值金额</t>
        </is>
      </c>
      <c r="F4" s="21" t="inlineStr">
        <is>
          <t>消费G点</t>
        </is>
      </c>
      <c r="G4" s="21" t="inlineStr">
        <is>
          <t>注册付费人数</t>
        </is>
      </c>
      <c r="H4" s="21" t="inlineStr">
        <is>
          <t>注册付费金额</t>
        </is>
      </c>
      <c r="I4" s="21" t="inlineStr">
        <is>
          <t>留存付费人数</t>
        </is>
      </c>
      <c r="J4" s="21" t="inlineStr">
        <is>
          <t>留存付费金额</t>
        </is>
      </c>
      <c r="K4" s="21" t="inlineStr">
        <is>
          <t>充值人数</t>
        </is>
      </c>
      <c r="L4" s="11" t="inlineStr">
        <is>
          <t>付费率%</t>
        </is>
      </c>
      <c r="M4" s="11" t="inlineStr">
        <is>
          <t>ARPU</t>
        </is>
      </c>
      <c r="N4" s="11" t="inlineStr">
        <is>
          <t>ARPPU</t>
        </is>
      </c>
    </row>
    <row r="5">
      <c r="A5" s="12" t="inlineStr">
        <is>
          <t>official</t>
        </is>
      </c>
      <c r="B5" s="7" t="n">
        <v>110028</v>
      </c>
      <c r="C5" s="7" t="n">
        <v>345234</v>
      </c>
      <c r="D5" s="7" t="n">
        <v>24802</v>
      </c>
      <c r="E5" s="7" t="n">
        <v>269698</v>
      </c>
      <c r="F5" s="7" t="n">
        <v>2716348</v>
      </c>
      <c r="G5" s="7" t="n">
        <v>438</v>
      </c>
      <c r="H5" s="7" t="n">
        <v>17998</v>
      </c>
      <c r="I5" s="7" t="n">
        <v>133</v>
      </c>
      <c r="J5" s="7" t="n">
        <v>201174</v>
      </c>
      <c r="K5" s="7" t="n">
        <v>3197</v>
      </c>
      <c r="L5" s="17">
        <f>IFERROR(K5/C5,0)</f>
        <v/>
      </c>
      <c r="M5" s="14">
        <f>IFERROR(E5/C5,0)</f>
        <v/>
      </c>
      <c r="N5" s="14">
        <f>IFERROR(E5/K5,0)</f>
        <v/>
      </c>
    </row>
    <row r="6">
      <c r="A6" s="12" t="inlineStr">
        <is>
          <t>1039</t>
        </is>
      </c>
      <c r="B6" s="7" t="n">
        <v>10224</v>
      </c>
      <c r="C6" s="7" t="n">
        <v>30070</v>
      </c>
      <c r="D6" s="7" t="n">
        <v>3895</v>
      </c>
      <c r="E6" s="7" t="n">
        <v>35406</v>
      </c>
      <c r="F6" s="7" t="n">
        <v>349656</v>
      </c>
      <c r="G6" s="7" t="n">
        <v>79</v>
      </c>
      <c r="H6" s="7" t="n">
        <v>2736</v>
      </c>
      <c r="I6" s="7" t="n">
        <v>16</v>
      </c>
      <c r="J6" s="7" t="n">
        <v>27078</v>
      </c>
      <c r="K6" s="7" t="n">
        <v>437</v>
      </c>
      <c r="L6" s="17">
        <f>IFERROR(K6/C6,0)</f>
        <v/>
      </c>
      <c r="M6" s="14">
        <f>IFERROR(E6/C6,0)</f>
        <v/>
      </c>
      <c r="N6" s="14">
        <f>IFERROR(E6/K6,0)</f>
        <v/>
      </c>
    </row>
    <row r="7">
      <c r="A7" s="12" t="inlineStr">
        <is>
          <t>1036</t>
        </is>
      </c>
      <c r="B7" s="7" t="n">
        <v>13091</v>
      </c>
      <c r="C7" s="7" t="n">
        <v>29221</v>
      </c>
      <c r="D7" s="7" t="n">
        <v>4899</v>
      </c>
      <c r="E7" s="7" t="n">
        <v>33672</v>
      </c>
      <c r="F7" s="7" t="n">
        <v>306333</v>
      </c>
      <c r="G7" s="7" t="n">
        <v>86</v>
      </c>
      <c r="H7" s="7" t="n">
        <v>2788</v>
      </c>
      <c r="I7" s="7" t="n">
        <v>16</v>
      </c>
      <c r="J7" s="7" t="n">
        <v>25368</v>
      </c>
      <c r="K7" s="7" t="n">
        <v>355</v>
      </c>
      <c r="L7" s="17">
        <f>IFERROR(K7/C7,0)</f>
        <v/>
      </c>
      <c r="M7" s="14">
        <f>IFERROR(E7/C7,0)</f>
        <v/>
      </c>
      <c r="N7" s="14">
        <f>IFERROR(E7/K7,0)</f>
        <v/>
      </c>
    </row>
    <row r="8">
      <c r="A8" s="12" t="inlineStr">
        <is>
          <t>1037</t>
        </is>
      </c>
      <c r="B8" s="7" t="n">
        <v>25888</v>
      </c>
      <c r="C8" s="7" t="n">
        <v>60519</v>
      </c>
      <c r="D8" s="7" t="n">
        <v>8311</v>
      </c>
      <c r="E8" s="7" t="n">
        <v>32922</v>
      </c>
      <c r="F8" s="7" t="n">
        <v>281661</v>
      </c>
      <c r="G8" s="7" t="n">
        <v>107</v>
      </c>
      <c r="H8" s="7" t="n">
        <v>4164</v>
      </c>
      <c r="I8" s="7" t="n">
        <v>22</v>
      </c>
      <c r="J8" s="7" t="n">
        <v>21600</v>
      </c>
      <c r="K8" s="7" t="n">
        <v>531</v>
      </c>
      <c r="L8" s="17">
        <f>IFERROR(K8/C8,0)</f>
        <v/>
      </c>
      <c r="M8" s="14">
        <f>IFERROR(E8/C8,0)</f>
        <v/>
      </c>
      <c r="N8" s="14">
        <f>IFERROR(E8/K8,0)</f>
        <v/>
      </c>
    </row>
    <row r="9">
      <c r="A9" s="12" t="inlineStr">
        <is>
          <t>1034</t>
        </is>
      </c>
      <c r="B9" s="7" t="n">
        <v>16937</v>
      </c>
      <c r="C9" s="7" t="n">
        <v>47882</v>
      </c>
      <c r="D9" s="7" t="n">
        <v>5784</v>
      </c>
      <c r="E9" s="7" t="n">
        <v>26026</v>
      </c>
      <c r="F9" s="7" t="n">
        <v>257760</v>
      </c>
      <c r="G9" s="7" t="n">
        <v>79</v>
      </c>
      <c r="H9" s="7" t="n">
        <v>2638</v>
      </c>
      <c r="I9" s="7" t="n">
        <v>19</v>
      </c>
      <c r="J9" s="7" t="n">
        <v>18866</v>
      </c>
      <c r="K9" s="7" t="n">
        <v>371</v>
      </c>
      <c r="L9" s="17">
        <f>IFERROR(K9/C9,0)</f>
        <v/>
      </c>
      <c r="M9" s="14">
        <f>IFERROR(E9/C9,0)</f>
        <v/>
      </c>
      <c r="N9" s="14">
        <f>IFERROR(E9/K9,0)</f>
        <v/>
      </c>
    </row>
    <row r="10">
      <c r="A10" s="12" t="inlineStr">
        <is>
          <t>1033</t>
        </is>
      </c>
      <c r="B10" s="7" t="n">
        <v>6081</v>
      </c>
      <c r="C10" s="7" t="n">
        <v>17570</v>
      </c>
      <c r="D10" s="7" t="n">
        <v>2255</v>
      </c>
      <c r="E10" s="7" t="n">
        <v>22252</v>
      </c>
      <c r="F10" s="7" t="n">
        <v>203668</v>
      </c>
      <c r="G10" s="7" t="n">
        <v>53</v>
      </c>
      <c r="H10" s="7" t="n">
        <v>2094</v>
      </c>
      <c r="I10" s="7" t="n">
        <v>11</v>
      </c>
      <c r="J10" s="7" t="n">
        <v>17098</v>
      </c>
      <c r="K10" s="7" t="n">
        <v>244</v>
      </c>
      <c r="L10" s="17">
        <f>IFERROR(K10/C10,0)</f>
        <v/>
      </c>
      <c r="M10" s="14">
        <f>IFERROR(E10/C10,0)</f>
        <v/>
      </c>
      <c r="N10" s="14">
        <f>IFERROR(E10/K10,0)</f>
        <v/>
      </c>
    </row>
    <row r="11">
      <c r="A11" s="12" t="inlineStr">
        <is>
          <t>1027</t>
        </is>
      </c>
      <c r="B11" s="7" t="n">
        <v>9249</v>
      </c>
      <c r="C11" s="7" t="n">
        <v>16607</v>
      </c>
      <c r="D11" s="7" t="n">
        <v>8411</v>
      </c>
      <c r="E11" s="7" t="n">
        <v>19884</v>
      </c>
      <c r="F11" s="7" t="n">
        <v>168464</v>
      </c>
      <c r="G11" s="7" t="n">
        <v>88</v>
      </c>
      <c r="H11" s="7" t="n">
        <v>3090</v>
      </c>
      <c r="I11" s="7" t="n">
        <v>13</v>
      </c>
      <c r="J11" s="7" t="n">
        <v>13662</v>
      </c>
      <c r="K11" s="7" t="n">
        <v>323</v>
      </c>
      <c r="L11" s="17">
        <f>IFERROR(K11/C11,0)</f>
        <v/>
      </c>
      <c r="M11" s="14">
        <f>IFERROR(E11/C11,0)</f>
        <v/>
      </c>
      <c r="N11" s="14">
        <f>IFERROR(E11/K11,0)</f>
        <v/>
      </c>
    </row>
    <row r="12">
      <c r="A12" s="12" t="inlineStr">
        <is>
          <t>1057</t>
        </is>
      </c>
      <c r="B12" s="7" t="n">
        <v>7285</v>
      </c>
      <c r="C12" s="7" t="n">
        <v>15471</v>
      </c>
      <c r="D12" s="7" t="n">
        <v>3962</v>
      </c>
      <c r="E12" s="7" t="n">
        <v>11580</v>
      </c>
      <c r="F12" s="7" t="n">
        <v>102539</v>
      </c>
      <c r="G12" s="7" t="n">
        <v>57</v>
      </c>
      <c r="H12" s="7" t="n">
        <v>3128</v>
      </c>
      <c r="I12" s="7" t="n">
        <v>10</v>
      </c>
      <c r="J12" s="7" t="n">
        <v>5372</v>
      </c>
      <c r="K12" s="7" t="n">
        <v>169</v>
      </c>
      <c r="L12" s="17">
        <f>IFERROR(K12/C12,0)</f>
        <v/>
      </c>
      <c r="M12" s="14">
        <f>IFERROR(E12/C12,0)</f>
        <v/>
      </c>
      <c r="N12" s="14">
        <f>IFERROR(E12/K12,0)</f>
        <v/>
      </c>
    </row>
    <row r="13">
      <c r="A13" s="12" t="inlineStr">
        <is>
          <t>1038</t>
        </is>
      </c>
      <c r="B13" s="7" t="n">
        <v>6159</v>
      </c>
      <c r="C13" s="7" t="n">
        <v>13849</v>
      </c>
      <c r="D13" s="7" t="n">
        <v>1319</v>
      </c>
      <c r="E13" s="7" t="n">
        <v>8864</v>
      </c>
      <c r="F13" s="7" t="n">
        <v>71248</v>
      </c>
      <c r="G13" s="7" t="n">
        <v>44</v>
      </c>
      <c r="H13" s="7" t="n">
        <v>1698</v>
      </c>
      <c r="I13" s="7" t="n">
        <v>4</v>
      </c>
      <c r="J13" s="7" t="n">
        <v>4804</v>
      </c>
      <c r="K13" s="7" t="n">
        <v>151</v>
      </c>
      <c r="L13" s="17">
        <f>IFERROR(K13/C13,0)</f>
        <v/>
      </c>
      <c r="M13" s="14">
        <f>IFERROR(E13/C13,0)</f>
        <v/>
      </c>
      <c r="N13" s="14">
        <f>IFERROR(E13/K13,0)</f>
        <v/>
      </c>
    </row>
    <row r="14">
      <c r="A14" s="12" t="inlineStr">
        <is>
          <t>3007</t>
        </is>
      </c>
      <c r="B14" s="7" t="n">
        <v>2891</v>
      </c>
      <c r="C14" s="7" t="n">
        <v>7251</v>
      </c>
      <c r="D14" s="7" t="n">
        <v>1280</v>
      </c>
      <c r="E14" s="7" t="n">
        <v>4440</v>
      </c>
      <c r="F14" s="7" t="n">
        <v>38288</v>
      </c>
      <c r="G14" s="7" t="n">
        <v>19</v>
      </c>
      <c r="H14" s="7" t="n">
        <v>846</v>
      </c>
      <c r="I14" s="7" t="n">
        <v>4</v>
      </c>
      <c r="J14" s="7" t="n">
        <v>2596</v>
      </c>
      <c r="K14" s="7" t="n">
        <v>89</v>
      </c>
      <c r="L14" s="17">
        <f>IFERROR(K14/C14,0)</f>
        <v/>
      </c>
      <c r="M14" s="14">
        <f>IFERROR(E14/C14,0)</f>
        <v/>
      </c>
      <c r="N14" s="14">
        <f>IFERROR(E14/K14,0)</f>
        <v/>
      </c>
    </row>
    <row r="15">
      <c r="A15" s="12" t="inlineStr">
        <is>
          <t>1020</t>
        </is>
      </c>
      <c r="B15" s="7" t="n">
        <v>4302</v>
      </c>
      <c r="C15" s="7" t="n">
        <v>7884</v>
      </c>
      <c r="D15" s="7" t="n">
        <v>4077</v>
      </c>
      <c r="E15" s="7" t="n">
        <v>4154</v>
      </c>
      <c r="F15" s="7" t="n">
        <v>34299</v>
      </c>
      <c r="G15" s="7" t="n">
        <v>39</v>
      </c>
      <c r="H15" s="7" t="n">
        <v>1260</v>
      </c>
      <c r="I15" s="7" t="n">
        <v>7</v>
      </c>
      <c r="J15" s="7" t="n">
        <v>2354</v>
      </c>
      <c r="K15" s="7" t="n">
        <v>111</v>
      </c>
      <c r="L15" s="17">
        <f>IFERROR(K15/C15,0)</f>
        <v/>
      </c>
      <c r="M15" s="14">
        <f>IFERROR(E15/C15,0)</f>
        <v/>
      </c>
      <c r="N15" s="14">
        <f>IFERROR(E15/K15,0)</f>
        <v/>
      </c>
    </row>
    <row r="16">
      <c r="A16" s="12" t="inlineStr">
        <is>
          <t>1055</t>
        </is>
      </c>
      <c r="B16" s="7" t="n">
        <v>3014</v>
      </c>
      <c r="C16" s="7" t="n">
        <v>5909</v>
      </c>
      <c r="D16" s="7" t="n">
        <v>1278</v>
      </c>
      <c r="E16" s="7" t="n">
        <v>3976</v>
      </c>
      <c r="F16" s="7" t="n">
        <v>33963</v>
      </c>
      <c r="G16" s="7" t="n">
        <v>20</v>
      </c>
      <c r="H16" s="7" t="n">
        <v>660</v>
      </c>
      <c r="I16" s="7" t="n">
        <v>3</v>
      </c>
      <c r="J16" s="7" t="n">
        <v>2238</v>
      </c>
      <c r="K16" s="7" t="n">
        <v>68</v>
      </c>
      <c r="L16" s="17">
        <f>IFERROR(K16/C16,0)</f>
        <v/>
      </c>
      <c r="M16" s="14">
        <f>IFERROR(E16/C16,0)</f>
        <v/>
      </c>
      <c r="N16" s="14">
        <f>IFERROR(E16/K16,0)</f>
        <v/>
      </c>
    </row>
    <row r="17">
      <c r="A17" s="12" t="inlineStr">
        <is>
          <t>3008</t>
        </is>
      </c>
      <c r="B17" s="7" t="n">
        <v>585</v>
      </c>
      <c r="C17" s="7" t="n">
        <v>2861</v>
      </c>
      <c r="D17" s="7" t="n">
        <v>360</v>
      </c>
      <c r="E17" s="7" t="n">
        <v>3720</v>
      </c>
      <c r="F17" s="7" t="n">
        <v>35765</v>
      </c>
      <c r="G17" s="7" t="n">
        <v>6</v>
      </c>
      <c r="H17" s="7" t="n">
        <v>180</v>
      </c>
      <c r="I17" s="7" t="n">
        <v>1</v>
      </c>
      <c r="J17" s="7" t="n">
        <v>3390</v>
      </c>
      <c r="K17" s="7" t="n">
        <v>51</v>
      </c>
      <c r="L17" s="17">
        <f>IFERROR(K17/C17,0)</f>
        <v/>
      </c>
      <c r="M17" s="14">
        <f>IFERROR(E17/C17,0)</f>
        <v/>
      </c>
      <c r="N17" s="14">
        <f>IFERROR(E17/K17,0)</f>
        <v/>
      </c>
    </row>
    <row r="18">
      <c r="A18" s="12" t="inlineStr">
        <is>
          <t>1011</t>
        </is>
      </c>
      <c r="B18" s="7" t="n">
        <v>255</v>
      </c>
      <c r="C18" s="7" t="n">
        <v>2046</v>
      </c>
      <c r="D18" s="7" t="n">
        <v>430</v>
      </c>
      <c r="E18" s="7" t="n">
        <v>3638</v>
      </c>
      <c r="F18" s="7" t="n">
        <v>35205</v>
      </c>
      <c r="G18" s="7" t="n">
        <v>7</v>
      </c>
      <c r="H18" s="7" t="n">
        <v>270</v>
      </c>
      <c r="I18" s="7" t="n">
        <v>6</v>
      </c>
      <c r="J18" s="7" t="n">
        <v>3188</v>
      </c>
      <c r="K18" s="7" t="n">
        <v>55</v>
      </c>
      <c r="L18" s="17">
        <f>IFERROR(K18/C18,0)</f>
        <v/>
      </c>
      <c r="M18" s="14">
        <f>IFERROR(E18/C18,0)</f>
        <v/>
      </c>
      <c r="N18" s="14">
        <f>IFERROR(E18/K18,0)</f>
        <v/>
      </c>
    </row>
    <row r="19">
      <c r="A19" s="12" t="inlineStr">
        <is>
          <t>3002</t>
        </is>
      </c>
      <c r="B19" s="7" t="n">
        <v>2054</v>
      </c>
      <c r="C19" s="7" t="n">
        <v>4633</v>
      </c>
      <c r="D19" s="7" t="n">
        <v>839</v>
      </c>
      <c r="E19" s="7" t="n">
        <v>3500</v>
      </c>
      <c r="F19" s="7" t="n">
        <v>24811</v>
      </c>
      <c r="G19" s="7" t="n">
        <v>8</v>
      </c>
      <c r="H19" s="7" t="n">
        <v>240</v>
      </c>
      <c r="I19" s="7" t="n">
        <v>0</v>
      </c>
      <c r="J19" s="7" t="n">
        <v>2990</v>
      </c>
      <c r="K19" s="7" t="n">
        <v>37</v>
      </c>
      <c r="L19" s="17">
        <f>IFERROR(K19/C19,0)</f>
        <v/>
      </c>
      <c r="M19" s="14">
        <f>IFERROR(E19/C19,0)</f>
        <v/>
      </c>
      <c r="N19" s="14">
        <f>IFERROR(E19/K19,0)</f>
        <v/>
      </c>
    </row>
    <row r="20">
      <c r="A20" s="12" t="inlineStr">
        <is>
          <t>1012</t>
        </is>
      </c>
      <c r="B20" s="7" t="n">
        <v>649</v>
      </c>
      <c r="C20" s="7" t="n">
        <v>3765</v>
      </c>
      <c r="D20" s="7" t="n">
        <v>1025</v>
      </c>
      <c r="E20" s="7" t="n">
        <v>3458</v>
      </c>
      <c r="F20" s="7" t="n">
        <v>27545</v>
      </c>
      <c r="G20" s="7" t="n">
        <v>8</v>
      </c>
      <c r="H20" s="7" t="n">
        <v>558</v>
      </c>
      <c r="I20" s="7" t="n">
        <v>5</v>
      </c>
      <c r="J20" s="7" t="n">
        <v>2720</v>
      </c>
      <c r="K20" s="7" t="n">
        <v>62</v>
      </c>
      <c r="L20" s="17">
        <f>IFERROR(K20/C20,0)</f>
        <v/>
      </c>
      <c r="M20" s="14">
        <f>IFERROR(E20/C20,0)</f>
        <v/>
      </c>
      <c r="N20" s="14">
        <f>IFERROR(E20/K20,0)</f>
        <v/>
      </c>
    </row>
    <row r="21">
      <c r="A21" s="12" t="inlineStr">
        <is>
          <t>1013</t>
        </is>
      </c>
      <c r="B21" s="7" t="n">
        <v>2337</v>
      </c>
      <c r="C21" s="7" t="n">
        <v>4365</v>
      </c>
      <c r="D21" s="7" t="n">
        <v>2190</v>
      </c>
      <c r="E21" s="7" t="n">
        <v>2938</v>
      </c>
      <c r="F21" s="7" t="n">
        <v>27384</v>
      </c>
      <c r="G21" s="7" t="n">
        <v>11</v>
      </c>
      <c r="H21" s="7" t="n">
        <v>390</v>
      </c>
      <c r="I21" s="7" t="n">
        <v>2</v>
      </c>
      <c r="J21" s="7" t="n">
        <v>2128</v>
      </c>
      <c r="K21" s="7" t="n">
        <v>61</v>
      </c>
      <c r="L21" s="17">
        <f>IFERROR(K21/C21,0)</f>
        <v/>
      </c>
      <c r="M21" s="14">
        <f>IFERROR(E21/C21,0)</f>
        <v/>
      </c>
      <c r="N21" s="14">
        <f>IFERROR(E21/K21,0)</f>
        <v/>
      </c>
    </row>
    <row r="22">
      <c r="A22" s="12" t="inlineStr">
        <is>
          <t>3005</t>
        </is>
      </c>
      <c r="B22" s="7" t="n">
        <v>1504</v>
      </c>
      <c r="C22" s="7" t="n">
        <v>3296</v>
      </c>
      <c r="D22" s="7" t="n">
        <v>505</v>
      </c>
      <c r="E22" s="7" t="n">
        <v>2926</v>
      </c>
      <c r="F22" s="7" t="n">
        <v>23650</v>
      </c>
      <c r="G22" s="7" t="n">
        <v>5</v>
      </c>
      <c r="H22" s="7" t="n">
        <v>150</v>
      </c>
      <c r="I22" s="7" t="n">
        <v>4</v>
      </c>
      <c r="J22" s="7" t="n">
        <v>2008</v>
      </c>
      <c r="K22" s="7" t="n">
        <v>40</v>
      </c>
      <c r="L22" s="17">
        <f>IFERROR(K22/C22,0)</f>
        <v/>
      </c>
      <c r="M22" s="14">
        <f>IFERROR(E22/C22,0)</f>
        <v/>
      </c>
      <c r="N22" s="14">
        <f>IFERROR(E22/K22,0)</f>
        <v/>
      </c>
    </row>
    <row r="23">
      <c r="A23" s="12" t="inlineStr">
        <is>
          <t>5000</t>
        </is>
      </c>
      <c r="B23" s="7" t="n">
        <v>7</v>
      </c>
      <c r="C23" s="7" t="n">
        <v>38</v>
      </c>
      <c r="D23" s="7" t="n">
        <v>5</v>
      </c>
      <c r="E23" s="7" t="n">
        <v>2808</v>
      </c>
      <c r="F23" s="7" t="n">
        <v>28040</v>
      </c>
      <c r="G23" s="7" t="n">
        <v>0</v>
      </c>
      <c r="H23" s="7" t="n">
        <v>0</v>
      </c>
      <c r="I23" s="7" t="n">
        <v>0</v>
      </c>
      <c r="J23" s="7" t="n">
        <v>2808</v>
      </c>
      <c r="K23" s="7" t="n">
        <v>4</v>
      </c>
      <c r="L23" s="17">
        <f>IFERROR(K23/C23,0)</f>
        <v/>
      </c>
      <c r="M23" s="14">
        <f>IFERROR(E23/C23,0)</f>
        <v/>
      </c>
      <c r="N23" s="14">
        <f>IFERROR(E23/K23,0)</f>
        <v/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平台 LTV 趋势（按注册日期，2026-04-28 ~ 2026-05-27）</t>
        </is>
      </c>
    </row>
    <row r="2">
      <c r="A2" s="2" t="inlineStr">
        <is>
          <t>来源：系统统计 &gt; 网络游戏注册LTV表（按账号数加权聚合到平台口径）</t>
        </is>
      </c>
    </row>
    <row r="3">
      <c r="A3" s="22" t="inlineStr">
        <is>
          <t>⚠️ 当前 LTV 仅含网游用户，单机用户 LTV 需技术补</t>
        </is>
      </c>
    </row>
    <row r="5">
      <c r="A5" s="21" t="inlineStr">
        <is>
          <t>注册日期</t>
        </is>
      </c>
      <c r="B5" s="21" t="inlineStr">
        <is>
          <t>总账号</t>
        </is>
      </c>
      <c r="C5" s="21" t="inlineStr">
        <is>
          <t>D1平均LTV</t>
        </is>
      </c>
      <c r="D5" s="21" t="inlineStr">
        <is>
          <t>D7平均LTV</t>
        </is>
      </c>
      <c r="E5" s="21" t="inlineStr">
        <is>
          <t>D14平均LTV</t>
        </is>
      </c>
      <c r="F5" s="21" t="inlineStr">
        <is>
          <t>D30平均LTV</t>
        </is>
      </c>
    </row>
    <row r="6">
      <c r="A6" s="12" t="inlineStr">
        <is>
          <t>2026-05-27</t>
        </is>
      </c>
      <c r="B6" s="7" t="n">
        <v>12631</v>
      </c>
      <c r="C6" s="24" t="n">
        <v>0.804</v>
      </c>
      <c r="D6" s="24" t="n">
        <v>0</v>
      </c>
      <c r="E6" s="24" t="n">
        <v>0</v>
      </c>
      <c r="F6" s="24" t="n">
        <v>0</v>
      </c>
    </row>
    <row r="7">
      <c r="A7" s="12" t="inlineStr">
        <is>
          <t>2026-05-26</t>
        </is>
      </c>
      <c r="B7" s="7" t="n">
        <v>12499</v>
      </c>
      <c r="C7" s="24" t="n">
        <v>0.646</v>
      </c>
      <c r="D7" s="24" t="n">
        <v>0</v>
      </c>
      <c r="E7" s="24" t="n">
        <v>0</v>
      </c>
      <c r="F7" s="24" t="n">
        <v>0</v>
      </c>
    </row>
    <row r="8">
      <c r="A8" s="12" t="inlineStr">
        <is>
          <t>2026-05-25</t>
        </is>
      </c>
      <c r="B8" s="7" t="n">
        <v>12319</v>
      </c>
      <c r="C8" s="24" t="n">
        <v>0.596</v>
      </c>
      <c r="D8" s="24" t="n">
        <v>0</v>
      </c>
      <c r="E8" s="24" t="n">
        <v>0</v>
      </c>
      <c r="F8" s="24" t="n">
        <v>0</v>
      </c>
    </row>
    <row r="9">
      <c r="A9" s="12" t="inlineStr">
        <is>
          <t>2026-05-24</t>
        </is>
      </c>
      <c r="B9" s="7" t="n">
        <v>22326</v>
      </c>
      <c r="C9" s="24" t="n">
        <v>0.581</v>
      </c>
      <c r="D9" s="24" t="n">
        <v>0</v>
      </c>
      <c r="E9" s="24" t="n">
        <v>0</v>
      </c>
      <c r="F9" s="24" t="n">
        <v>0</v>
      </c>
    </row>
    <row r="10">
      <c r="A10" s="12" t="inlineStr">
        <is>
          <t>2026-05-23</t>
        </is>
      </c>
      <c r="B10" s="7" t="n">
        <v>27833</v>
      </c>
      <c r="C10" s="24" t="n">
        <v>0.367</v>
      </c>
      <c r="D10" s="24" t="n">
        <v>0</v>
      </c>
      <c r="E10" s="24" t="n">
        <v>0</v>
      </c>
      <c r="F10" s="24" t="n">
        <v>0</v>
      </c>
    </row>
    <row r="11">
      <c r="A11" s="12" t="inlineStr">
        <is>
          <t>2026-05-22</t>
        </is>
      </c>
      <c r="B11" s="7" t="n">
        <v>17363</v>
      </c>
      <c r="C11" s="24" t="n">
        <v>0.582</v>
      </c>
      <c r="D11" s="24" t="n">
        <v>1.343</v>
      </c>
      <c r="E11" s="24" t="n">
        <v>0</v>
      </c>
      <c r="F11" s="24" t="n">
        <v>0</v>
      </c>
    </row>
    <row r="12">
      <c r="A12" s="12" t="inlineStr">
        <is>
          <t>2026-05-21</t>
        </is>
      </c>
      <c r="B12" s="7" t="n">
        <v>13367</v>
      </c>
      <c r="C12" s="24" t="n">
        <v>1</v>
      </c>
      <c r="D12" s="24" t="n">
        <v>2.941</v>
      </c>
      <c r="E12" s="24" t="n">
        <v>0</v>
      </c>
      <c r="F12" s="24" t="n">
        <v>0</v>
      </c>
    </row>
    <row r="13">
      <c r="A13" s="12" t="inlineStr">
        <is>
          <t>2026-05-20</t>
        </is>
      </c>
      <c r="B13" s="7" t="n">
        <v>13585</v>
      </c>
      <c r="C13" s="24" t="n">
        <v>0.475</v>
      </c>
      <c r="D13" s="24" t="n">
        <v>2.25</v>
      </c>
      <c r="E13" s="24" t="n">
        <v>0</v>
      </c>
      <c r="F13" s="24" t="n">
        <v>0</v>
      </c>
    </row>
    <row r="14">
      <c r="A14" s="12" t="inlineStr">
        <is>
          <t>2026-05-19</t>
        </is>
      </c>
      <c r="B14" s="7" t="n">
        <v>13515</v>
      </c>
      <c r="C14" s="24" t="n">
        <v>0.664</v>
      </c>
      <c r="D14" s="24" t="n">
        <v>3.294</v>
      </c>
      <c r="E14" s="24" t="n">
        <v>0</v>
      </c>
      <c r="F14" s="24" t="n">
        <v>0</v>
      </c>
    </row>
    <row r="15">
      <c r="A15" s="12" t="inlineStr">
        <is>
          <t>2026-05-18</t>
        </is>
      </c>
      <c r="B15" s="7" t="n">
        <v>14168</v>
      </c>
      <c r="C15" s="24" t="n">
        <v>0.598</v>
      </c>
      <c r="D15" s="24" t="n">
        <v>2.24</v>
      </c>
      <c r="E15" s="24" t="n">
        <v>0</v>
      </c>
      <c r="F15" s="24" t="n">
        <v>0</v>
      </c>
    </row>
    <row r="16">
      <c r="A16" s="12" t="inlineStr">
        <is>
          <t>2026-05-17</t>
        </is>
      </c>
      <c r="B16" s="7" t="n">
        <v>26571</v>
      </c>
      <c r="C16" s="24" t="n">
        <v>0.471</v>
      </c>
      <c r="D16" s="24" t="n">
        <v>1.331</v>
      </c>
      <c r="E16" s="24" t="n">
        <v>0</v>
      </c>
      <c r="F16" s="24" t="n">
        <v>0</v>
      </c>
    </row>
    <row r="17">
      <c r="A17" s="12" t="inlineStr">
        <is>
          <t>2026-05-16</t>
        </is>
      </c>
      <c r="B17" s="7" t="n">
        <v>30131</v>
      </c>
      <c r="C17" s="24" t="n">
        <v>0.369</v>
      </c>
      <c r="D17" s="24" t="n">
        <v>1.639</v>
      </c>
      <c r="E17" s="24" t="n">
        <v>0</v>
      </c>
      <c r="F17" s="24" t="n">
        <v>0</v>
      </c>
    </row>
    <row r="18">
      <c r="A18" s="12" t="inlineStr">
        <is>
          <t>2026-05-15</t>
        </is>
      </c>
      <c r="B18" s="7" t="n">
        <v>14526</v>
      </c>
      <c r="C18" s="24" t="n">
        <v>0.38</v>
      </c>
      <c r="D18" s="24" t="n">
        <v>1.669</v>
      </c>
      <c r="E18" s="24" t="n">
        <v>1.825</v>
      </c>
      <c r="F18" s="24" t="n">
        <v>0</v>
      </c>
    </row>
    <row r="19">
      <c r="A19" s="12" t="inlineStr">
        <is>
          <t>2026-05-14</t>
        </is>
      </c>
      <c r="B19" s="7" t="n">
        <v>8064</v>
      </c>
      <c r="C19" s="24" t="n">
        <v>1.043</v>
      </c>
      <c r="D19" s="24" t="n">
        <v>2.809</v>
      </c>
      <c r="E19" s="24" t="n">
        <v>3.708</v>
      </c>
      <c r="F19" s="24" t="n">
        <v>0</v>
      </c>
    </row>
    <row r="20">
      <c r="A20" s="12" t="inlineStr">
        <is>
          <t>2026-05-13</t>
        </is>
      </c>
      <c r="B20" s="7" t="n">
        <v>8462</v>
      </c>
      <c r="C20" s="24" t="n">
        <v>0.8129999999999999</v>
      </c>
      <c r="D20" s="24" t="n">
        <v>2.901</v>
      </c>
      <c r="E20" s="24" t="n">
        <v>3.567</v>
      </c>
      <c r="F20" s="24" t="n">
        <v>0</v>
      </c>
    </row>
    <row r="21">
      <c r="A21" s="12" t="inlineStr">
        <is>
          <t>2026-05-12</t>
        </is>
      </c>
      <c r="B21" s="7" t="n">
        <v>8927</v>
      </c>
      <c r="C21" s="24" t="n">
        <v>0.593</v>
      </c>
      <c r="D21" s="24" t="n">
        <v>2.075</v>
      </c>
      <c r="E21" s="24" t="n">
        <v>2.469</v>
      </c>
      <c r="F21" s="24" t="n">
        <v>0</v>
      </c>
    </row>
    <row r="22">
      <c r="A22" s="12" t="inlineStr">
        <is>
          <t>2026-05-11</t>
        </is>
      </c>
      <c r="B22" s="7" t="n">
        <v>7306</v>
      </c>
      <c r="C22" s="24" t="n">
        <v>0.615</v>
      </c>
      <c r="D22" s="24" t="n">
        <v>2.367</v>
      </c>
      <c r="E22" s="24" t="n">
        <v>2.721</v>
      </c>
      <c r="F22" s="24" t="n">
        <v>0</v>
      </c>
    </row>
    <row r="23">
      <c r="A23" s="12" t="inlineStr">
        <is>
          <t>2026-05-10</t>
        </is>
      </c>
      <c r="B23" s="7" t="n">
        <v>12300</v>
      </c>
      <c r="C23" s="24" t="n">
        <v>0.527</v>
      </c>
      <c r="D23" s="24" t="n">
        <v>1.73</v>
      </c>
      <c r="E23" s="24" t="n">
        <v>2.8</v>
      </c>
      <c r="F23" s="24" t="n">
        <v>0</v>
      </c>
    </row>
    <row r="24">
      <c r="A24" s="12" t="inlineStr">
        <is>
          <t>2026-05-09</t>
        </is>
      </c>
      <c r="B24" s="7" t="n">
        <v>9105</v>
      </c>
      <c r="C24" s="24" t="n">
        <v>0.706</v>
      </c>
      <c r="D24" s="24" t="n">
        <v>2.58</v>
      </c>
      <c r="E24" s="24" t="n">
        <v>3.712</v>
      </c>
      <c r="F24" s="24" t="n">
        <v>0</v>
      </c>
    </row>
    <row r="25">
      <c r="A25" s="12" t="inlineStr">
        <is>
          <t>2026-05-08</t>
        </is>
      </c>
      <c r="B25" s="7" t="n">
        <v>7033</v>
      </c>
      <c r="C25" s="24" t="n">
        <v>0.709</v>
      </c>
      <c r="D25" s="24" t="n">
        <v>2.922</v>
      </c>
      <c r="E25" s="24" t="n">
        <v>4.332</v>
      </c>
      <c r="F25" s="24" t="n">
        <v>0</v>
      </c>
    </row>
    <row r="26">
      <c r="A26" s="12" t="inlineStr">
        <is>
          <t>2026-05-07</t>
        </is>
      </c>
      <c r="B26" s="7" t="n">
        <v>6657</v>
      </c>
      <c r="C26" s="24" t="n">
        <v>0.9360000000000001</v>
      </c>
      <c r="D26" s="24" t="n">
        <v>4.056</v>
      </c>
      <c r="E26" s="24" t="n">
        <v>5.539</v>
      </c>
      <c r="F26" s="24" t="n">
        <v>0</v>
      </c>
    </row>
    <row r="27">
      <c r="A27" s="12" t="inlineStr">
        <is>
          <t>2026-05-06</t>
        </is>
      </c>
      <c r="B27" s="7" t="n">
        <v>6982</v>
      </c>
      <c r="C27" s="24" t="n">
        <v>1.17</v>
      </c>
      <c r="D27" s="24" t="n">
        <v>2.511</v>
      </c>
      <c r="E27" s="24" t="n">
        <v>3.297</v>
      </c>
      <c r="F27" s="24" t="n">
        <v>0</v>
      </c>
    </row>
    <row r="28">
      <c r="A28" s="12" t="inlineStr">
        <is>
          <t>2026-05-05</t>
        </is>
      </c>
      <c r="B28" s="7" t="n">
        <v>12319</v>
      </c>
      <c r="C28" s="24" t="n">
        <v>0.513</v>
      </c>
      <c r="D28" s="24" t="n">
        <v>2.13</v>
      </c>
      <c r="E28" s="24" t="n">
        <v>3.034</v>
      </c>
      <c r="F28" s="24" t="n">
        <v>0</v>
      </c>
    </row>
    <row r="29">
      <c r="A29" s="12" t="inlineStr">
        <is>
          <t>2026-05-04</t>
        </is>
      </c>
      <c r="B29" s="7" t="n">
        <v>17709</v>
      </c>
      <c r="C29" s="24" t="n">
        <v>0.523</v>
      </c>
      <c r="D29" s="24" t="n">
        <v>1.732</v>
      </c>
      <c r="E29" s="24" t="n">
        <v>2.25</v>
      </c>
      <c r="F29" s="24" t="n">
        <v>0</v>
      </c>
    </row>
    <row r="30">
      <c r="A30" s="12" t="inlineStr">
        <is>
          <t>2026-05-03</t>
        </is>
      </c>
      <c r="B30" s="7" t="n">
        <v>20344</v>
      </c>
      <c r="C30" s="24" t="n">
        <v>0.602</v>
      </c>
      <c r="D30" s="24" t="n">
        <v>1.813</v>
      </c>
      <c r="E30" s="24" t="n">
        <v>2.258</v>
      </c>
      <c r="F30" s="24" t="n">
        <v>0</v>
      </c>
    </row>
    <row r="31">
      <c r="A31" s="12" t="inlineStr">
        <is>
          <t>2026-05-02</t>
        </is>
      </c>
      <c r="B31" s="7" t="n">
        <v>17475</v>
      </c>
      <c r="C31" s="24" t="n">
        <v>0.398</v>
      </c>
      <c r="D31" s="24" t="n">
        <v>1.493</v>
      </c>
      <c r="E31" s="24" t="n">
        <v>1.716</v>
      </c>
      <c r="F31" s="24" t="n">
        <v>0</v>
      </c>
    </row>
    <row r="32">
      <c r="A32" s="12" t="inlineStr">
        <is>
          <t>2026-05-01</t>
        </is>
      </c>
      <c r="B32" s="7" t="n">
        <v>18280</v>
      </c>
      <c r="C32" s="24" t="n">
        <v>0.489</v>
      </c>
      <c r="D32" s="24" t="n">
        <v>1.655</v>
      </c>
      <c r="E32" s="24" t="n">
        <v>1.862</v>
      </c>
      <c r="F32" s="24" t="n">
        <v>0</v>
      </c>
    </row>
    <row r="33">
      <c r="A33" s="12" t="inlineStr">
        <is>
          <t>2026-04-30</t>
        </is>
      </c>
      <c r="B33" s="7" t="n">
        <v>8767</v>
      </c>
      <c r="C33" s="24" t="n">
        <v>0.312</v>
      </c>
      <c r="D33" s="24" t="n">
        <v>2.19</v>
      </c>
      <c r="E33" s="24" t="n">
        <v>2.311</v>
      </c>
      <c r="F33" s="24" t="n">
        <v>0</v>
      </c>
    </row>
    <row r="34">
      <c r="A34" s="12" t="inlineStr">
        <is>
          <t>2026-04-29</t>
        </is>
      </c>
      <c r="B34" s="7" t="n">
        <v>6627</v>
      </c>
      <c r="C34" s="24" t="n">
        <v>0.493</v>
      </c>
      <c r="D34" s="24" t="n">
        <v>1.621</v>
      </c>
      <c r="E34" s="24" t="n">
        <v>2.276</v>
      </c>
      <c r="F34" s="24" t="n">
        <v>2.765</v>
      </c>
    </row>
    <row r="35">
      <c r="A35" s="12" t="inlineStr">
        <is>
          <t>2026-04-28</t>
        </is>
      </c>
      <c r="B35" s="7" t="n">
        <v>5638</v>
      </c>
      <c r="C35" s="24" t="n">
        <v>0.656</v>
      </c>
      <c r="D35" s="24" t="n">
        <v>2.564</v>
      </c>
      <c r="E35" s="24" t="n">
        <v>3.159</v>
      </c>
      <c r="F35" s="24" t="n">
        <v>3.984</v>
      </c>
    </row>
  </sheetData>
  <mergeCells count="3">
    <mergeCell ref="A3:F3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平台留存趋势（按注册日期，2026-04-28 ~ 2026-05-27）</t>
        </is>
      </c>
    </row>
    <row r="2">
      <c r="A2" s="2" t="inlineStr">
        <is>
          <t>来源：系统统计 &gt; 网络游戏注册留存（按注册人数加权聚合到平台口径）</t>
        </is>
      </c>
    </row>
    <row r="3">
      <c r="A3" s="22" t="inlineStr">
        <is>
          <t>⚠️ 当前留存为按游戏聚合，平台维度需技术补；"日活统计"页有 bug，无法直接取平台留存</t>
        </is>
      </c>
    </row>
    <row r="5">
      <c r="A5" s="21" t="inlineStr">
        <is>
          <t>注册日期</t>
        </is>
      </c>
      <c r="B5" s="21" t="inlineStr">
        <is>
          <t>注册数</t>
        </is>
      </c>
      <c r="C5" s="21" t="inlineStr">
        <is>
          <t>D1次留率(%)</t>
        </is>
      </c>
      <c r="D5" s="21" t="inlineStr">
        <is>
          <t>D3留存率(%)</t>
        </is>
      </c>
      <c r="E5" s="21" t="inlineStr">
        <is>
          <t>D7留存率(%)</t>
        </is>
      </c>
      <c r="F5" s="21" t="inlineStr">
        <is>
          <t>D14留存率(%)</t>
        </is>
      </c>
      <c r="G5" s="21" t="inlineStr">
        <is>
          <t>D30留存率(%)</t>
        </is>
      </c>
    </row>
    <row r="6">
      <c r="A6" s="12" t="inlineStr">
        <is>
          <t>2026-05-27</t>
        </is>
      </c>
      <c r="B6" s="7" t="n">
        <v>12631</v>
      </c>
      <c r="C6" s="23" t="n">
        <v>20.25</v>
      </c>
      <c r="D6" s="23" t="n">
        <v>0</v>
      </c>
      <c r="E6" s="23" t="n">
        <v>0</v>
      </c>
      <c r="F6" s="23" t="n">
        <v>0</v>
      </c>
      <c r="G6" s="23" t="n">
        <v>0</v>
      </c>
    </row>
    <row r="7">
      <c r="A7" s="12" t="inlineStr">
        <is>
          <t>2026-05-26</t>
        </is>
      </c>
      <c r="B7" s="7" t="n">
        <v>12499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</row>
    <row r="8">
      <c r="A8" s="12" t="inlineStr">
        <is>
          <t>2026-05-25</t>
        </is>
      </c>
      <c r="B8" s="7" t="n">
        <v>12319</v>
      </c>
      <c r="C8" s="23" t="n">
        <v>25.38</v>
      </c>
      <c r="D8" s="23" t="n">
        <v>8.279999999999999</v>
      </c>
      <c r="E8" s="23" t="n">
        <v>0</v>
      </c>
      <c r="F8" s="23" t="n">
        <v>0</v>
      </c>
      <c r="G8" s="23" t="n">
        <v>0</v>
      </c>
    </row>
    <row r="9">
      <c r="A9" s="12" t="inlineStr">
        <is>
          <t>2026-05-24</t>
        </is>
      </c>
      <c r="B9" s="7" t="n">
        <v>22326</v>
      </c>
      <c r="C9" s="23" t="n">
        <v>15.26</v>
      </c>
      <c r="D9" s="23" t="n">
        <v>7.07</v>
      </c>
      <c r="E9" s="23" t="n">
        <v>0</v>
      </c>
      <c r="F9" s="23" t="n">
        <v>0</v>
      </c>
      <c r="G9" s="23" t="n">
        <v>0</v>
      </c>
    </row>
    <row r="10">
      <c r="A10" s="12" t="inlineStr">
        <is>
          <t>2026-05-23</t>
        </is>
      </c>
      <c r="B10" s="7" t="n">
        <v>27833</v>
      </c>
      <c r="C10" s="23" t="n">
        <v>21.12</v>
      </c>
      <c r="D10" s="23" t="n">
        <v>6.35</v>
      </c>
      <c r="E10" s="23" t="n">
        <v>0</v>
      </c>
      <c r="F10" s="23" t="n">
        <v>0</v>
      </c>
      <c r="G10" s="23" t="n">
        <v>0</v>
      </c>
    </row>
    <row r="11">
      <c r="A11" s="12" t="inlineStr">
        <is>
          <t>2026-05-22</t>
        </is>
      </c>
      <c r="B11" s="7" t="n">
        <v>17363</v>
      </c>
      <c r="C11" s="23" t="n">
        <v>23.69</v>
      </c>
      <c r="D11" s="23" t="n">
        <v>6.71</v>
      </c>
      <c r="E11" s="23" t="n">
        <v>0</v>
      </c>
      <c r="F11" s="23" t="n">
        <v>0</v>
      </c>
      <c r="G11" s="23" t="n">
        <v>0</v>
      </c>
    </row>
    <row r="12">
      <c r="A12" s="12" t="inlineStr">
        <is>
          <t>2026-05-21</t>
        </is>
      </c>
      <c r="B12" s="7" t="n">
        <v>13367</v>
      </c>
      <c r="C12" s="23" t="n">
        <v>23.21</v>
      </c>
      <c r="D12" s="23" t="n">
        <v>8.9</v>
      </c>
      <c r="E12" s="23" t="n">
        <v>3.9</v>
      </c>
      <c r="F12" s="23" t="n">
        <v>0</v>
      </c>
      <c r="G12" s="23" t="n">
        <v>0</v>
      </c>
    </row>
    <row r="13">
      <c r="A13" s="12" t="inlineStr">
        <is>
          <t>2026-05-20</t>
        </is>
      </c>
      <c r="B13" s="7" t="n">
        <v>13585</v>
      </c>
      <c r="C13" s="23" t="n">
        <v>23.34</v>
      </c>
      <c r="D13" s="23" t="n">
        <v>9.789999999999999</v>
      </c>
      <c r="E13" s="23" t="n">
        <v>4.32</v>
      </c>
      <c r="F13" s="23" t="n">
        <v>0</v>
      </c>
      <c r="G13" s="23" t="n">
        <v>0</v>
      </c>
    </row>
    <row r="14">
      <c r="A14" s="12" t="inlineStr">
        <is>
          <t>2026-05-19</t>
        </is>
      </c>
      <c r="B14" s="7" t="n">
        <v>13515</v>
      </c>
      <c r="C14" s="23" t="n">
        <v>22.69</v>
      </c>
      <c r="D14" s="23" t="n">
        <v>9.57</v>
      </c>
      <c r="E14" s="23" t="n">
        <v>5.02</v>
      </c>
      <c r="F14" s="23" t="n">
        <v>0</v>
      </c>
      <c r="G14" s="23" t="n">
        <v>0</v>
      </c>
    </row>
    <row r="15">
      <c r="A15" s="12" t="inlineStr">
        <is>
          <t>2026-05-18</t>
        </is>
      </c>
      <c r="B15" s="7" t="n">
        <v>14168</v>
      </c>
      <c r="C15" s="23" t="n">
        <v>22.94</v>
      </c>
      <c r="D15" s="23" t="n">
        <v>9.289999999999999</v>
      </c>
      <c r="E15" s="23" t="n">
        <v>4.38</v>
      </c>
      <c r="F15" s="23" t="n">
        <v>0</v>
      </c>
      <c r="G15" s="23" t="n">
        <v>0</v>
      </c>
    </row>
    <row r="16">
      <c r="A16" s="12" t="inlineStr">
        <is>
          <t>2026-05-17</t>
        </is>
      </c>
      <c r="B16" s="7" t="n">
        <v>26571</v>
      </c>
      <c r="C16" s="23" t="n">
        <v>14.01</v>
      </c>
      <c r="D16" s="23" t="n">
        <v>6.21</v>
      </c>
      <c r="E16" s="23" t="n">
        <v>5.14</v>
      </c>
      <c r="F16" s="23" t="n">
        <v>0</v>
      </c>
      <c r="G16" s="23" t="n">
        <v>0</v>
      </c>
    </row>
    <row r="17">
      <c r="A17" s="12" t="inlineStr">
        <is>
          <t>2026-05-16</t>
        </is>
      </c>
      <c r="B17" s="7" t="n">
        <v>30131</v>
      </c>
      <c r="C17" s="23" t="n">
        <v>20.83</v>
      </c>
      <c r="D17" s="23" t="n">
        <v>5.03</v>
      </c>
      <c r="E17" s="23" t="n">
        <v>5.37</v>
      </c>
      <c r="F17" s="23" t="n">
        <v>0</v>
      </c>
      <c r="G17" s="23" t="n">
        <v>0</v>
      </c>
    </row>
    <row r="18">
      <c r="A18" s="12" t="inlineStr">
        <is>
          <t>2026-05-15</t>
        </is>
      </c>
      <c r="B18" s="7" t="n">
        <v>14526</v>
      </c>
      <c r="C18" s="23" t="n">
        <v>25.06</v>
      </c>
      <c r="D18" s="23" t="n">
        <v>6.49</v>
      </c>
      <c r="E18" s="23" t="n">
        <v>4.68</v>
      </c>
      <c r="F18" s="23" t="n">
        <v>0</v>
      </c>
      <c r="G18" s="23" t="n">
        <v>0</v>
      </c>
    </row>
    <row r="19">
      <c r="A19" s="12" t="inlineStr">
        <is>
          <t>2026-05-14</t>
        </is>
      </c>
      <c r="B19" s="7" t="n">
        <v>8064</v>
      </c>
      <c r="C19" s="23" t="n">
        <v>20.58</v>
      </c>
      <c r="D19" s="23" t="n">
        <v>9.029999999999999</v>
      </c>
      <c r="E19" s="23" t="n">
        <v>5.08</v>
      </c>
      <c r="F19" s="23" t="n">
        <v>1.49</v>
      </c>
      <c r="G19" s="23" t="n">
        <v>0</v>
      </c>
    </row>
    <row r="20">
      <c r="A20" s="12" t="inlineStr">
        <is>
          <t>2026-05-13</t>
        </is>
      </c>
      <c r="B20" s="7" t="n">
        <v>8462</v>
      </c>
      <c r="C20" s="23" t="n">
        <v>22.93</v>
      </c>
      <c r="D20" s="23" t="n">
        <v>9.300000000000001</v>
      </c>
      <c r="E20" s="23" t="n">
        <v>4.45</v>
      </c>
      <c r="F20" s="23" t="n">
        <v>2.44</v>
      </c>
      <c r="G20" s="23" t="n">
        <v>0</v>
      </c>
    </row>
    <row r="21">
      <c r="A21" s="12" t="inlineStr">
        <is>
          <t>2026-05-12</t>
        </is>
      </c>
      <c r="B21" s="7" t="n">
        <v>8927</v>
      </c>
      <c r="C21" s="23" t="n">
        <v>23.06</v>
      </c>
      <c r="D21" s="23" t="n">
        <v>8.33</v>
      </c>
      <c r="E21" s="23" t="n">
        <v>4.06</v>
      </c>
      <c r="F21" s="23" t="n">
        <v>2.29</v>
      </c>
      <c r="G21" s="23" t="n">
        <v>0</v>
      </c>
    </row>
    <row r="22">
      <c r="A22" s="12" t="inlineStr">
        <is>
          <t>2026-05-11</t>
        </is>
      </c>
      <c r="B22" s="7" t="n">
        <v>7306</v>
      </c>
      <c r="C22" s="23" t="n">
        <v>23.15</v>
      </c>
      <c r="D22" s="23" t="n">
        <v>10.26</v>
      </c>
      <c r="E22" s="23" t="n">
        <v>4.16</v>
      </c>
      <c r="F22" s="23" t="n">
        <v>1.77</v>
      </c>
      <c r="G22" s="23" t="n">
        <v>0</v>
      </c>
    </row>
    <row r="23">
      <c r="A23" s="12" t="inlineStr">
        <is>
          <t>2026-05-10</t>
        </is>
      </c>
      <c r="B23" s="7" t="n">
        <v>12300</v>
      </c>
      <c r="C23" s="23" t="n">
        <v>14.73</v>
      </c>
      <c r="D23" s="23" t="n">
        <v>7.36</v>
      </c>
      <c r="E23" s="23" t="n">
        <v>5.21</v>
      </c>
      <c r="F23" s="23" t="n">
        <v>2.39</v>
      </c>
      <c r="G23" s="23" t="n">
        <v>0</v>
      </c>
    </row>
    <row r="24">
      <c r="A24" s="12" t="inlineStr">
        <is>
          <t>2026-05-09</t>
        </is>
      </c>
      <c r="B24" s="7" t="n">
        <v>9105</v>
      </c>
      <c r="C24" s="23" t="n">
        <v>22.99</v>
      </c>
      <c r="D24" s="23" t="n">
        <v>8.619999999999999</v>
      </c>
      <c r="E24" s="23" t="n">
        <v>5.46</v>
      </c>
      <c r="F24" s="23" t="n">
        <v>2.29</v>
      </c>
      <c r="G24" s="23" t="n">
        <v>0</v>
      </c>
    </row>
    <row r="25">
      <c r="A25" s="12" t="inlineStr">
        <is>
          <t>2026-05-08</t>
        </is>
      </c>
      <c r="B25" s="7" t="n">
        <v>7033</v>
      </c>
      <c r="C25" s="23" t="n">
        <v>23.93</v>
      </c>
      <c r="D25" s="23" t="n">
        <v>10.61</v>
      </c>
      <c r="E25" s="23" t="n">
        <v>5.61</v>
      </c>
      <c r="F25" s="23" t="n">
        <v>2.18</v>
      </c>
      <c r="G25" s="23" t="n">
        <v>0</v>
      </c>
    </row>
    <row r="26">
      <c r="A26" s="12" t="inlineStr">
        <is>
          <t>2026-05-07</t>
        </is>
      </c>
      <c r="B26" s="7" t="n">
        <v>6657</v>
      </c>
      <c r="C26" s="23" t="n">
        <v>24.91</v>
      </c>
      <c r="D26" s="23" t="n">
        <v>11.29</v>
      </c>
      <c r="E26" s="23" t="n">
        <v>5.31</v>
      </c>
      <c r="F26" s="23" t="n">
        <v>2.43</v>
      </c>
      <c r="G26" s="23" t="n">
        <v>0</v>
      </c>
    </row>
    <row r="27">
      <c r="A27" s="12" t="inlineStr">
        <is>
          <t>2026-05-06</t>
        </is>
      </c>
      <c r="B27" s="7" t="n">
        <v>6982</v>
      </c>
      <c r="C27" s="23" t="n">
        <v>24.29</v>
      </c>
      <c r="D27" s="23" t="n">
        <v>10.44</v>
      </c>
      <c r="E27" s="23" t="n">
        <v>5.21</v>
      </c>
      <c r="F27" s="23" t="n">
        <v>1.83</v>
      </c>
      <c r="G27" s="23" t="n">
        <v>0</v>
      </c>
    </row>
    <row r="28">
      <c r="A28" s="12" t="inlineStr">
        <is>
          <t>2026-05-05</t>
        </is>
      </c>
      <c r="B28" s="7" t="n">
        <v>12319</v>
      </c>
      <c r="C28" s="23" t="n">
        <v>17.7</v>
      </c>
      <c r="D28" s="23" t="n">
        <v>7.88</v>
      </c>
      <c r="E28" s="23" t="n">
        <v>3.7</v>
      </c>
      <c r="F28" s="23" t="n">
        <v>1.33</v>
      </c>
      <c r="G28" s="23" t="n">
        <v>0</v>
      </c>
    </row>
    <row r="29">
      <c r="A29" s="12" t="inlineStr">
        <is>
          <t>2026-05-04</t>
        </is>
      </c>
      <c r="B29" s="7" t="n">
        <v>17709</v>
      </c>
      <c r="C29" s="23" t="n">
        <v>20.5</v>
      </c>
      <c r="D29" s="23" t="n">
        <v>5.88</v>
      </c>
      <c r="E29" s="23" t="n">
        <v>2.91</v>
      </c>
      <c r="F29" s="23" t="n">
        <v>1.45</v>
      </c>
      <c r="G29" s="23" t="n">
        <v>0</v>
      </c>
    </row>
    <row r="30">
      <c r="A30" s="12" t="inlineStr">
        <is>
          <t>2026-05-03</t>
        </is>
      </c>
      <c r="B30" s="7" t="n">
        <v>20344</v>
      </c>
      <c r="C30" s="23" t="n">
        <v>21.29</v>
      </c>
      <c r="D30" s="23" t="n">
        <v>5.76</v>
      </c>
      <c r="E30" s="23" t="n">
        <v>4.75</v>
      </c>
      <c r="F30" s="23" t="n">
        <v>2.49</v>
      </c>
      <c r="G30" s="23" t="n">
        <v>0</v>
      </c>
    </row>
    <row r="31">
      <c r="A31" s="12" t="inlineStr">
        <is>
          <t>2026-05-02</t>
        </is>
      </c>
      <c r="B31" s="7" t="n">
        <v>17475</v>
      </c>
      <c r="C31" s="23" t="n">
        <v>23.09</v>
      </c>
      <c r="D31" s="23" t="n">
        <v>7.89</v>
      </c>
      <c r="E31" s="23" t="n">
        <v>3.47</v>
      </c>
      <c r="F31" s="23" t="n">
        <v>3.1</v>
      </c>
      <c r="G31" s="23" t="n">
        <v>0</v>
      </c>
    </row>
    <row r="32">
      <c r="A32" s="12" t="inlineStr">
        <is>
          <t>2026-05-01</t>
        </is>
      </c>
      <c r="B32" s="7" t="n">
        <v>18280</v>
      </c>
      <c r="C32" s="23" t="n">
        <v>22.04</v>
      </c>
      <c r="D32" s="23" t="n">
        <v>8.09</v>
      </c>
      <c r="E32" s="23" t="n">
        <v>2.12</v>
      </c>
      <c r="F32" s="23" t="n">
        <v>1.96</v>
      </c>
      <c r="G32" s="23" t="n">
        <v>0</v>
      </c>
    </row>
    <row r="33">
      <c r="A33" s="12" t="inlineStr">
        <is>
          <t>2026-04-30</t>
        </is>
      </c>
      <c r="B33" s="7" t="n">
        <v>8767</v>
      </c>
      <c r="C33" s="23" t="n">
        <v>25.29</v>
      </c>
      <c r="D33" s="23" t="n">
        <v>8.26</v>
      </c>
      <c r="E33" s="23" t="n">
        <v>2.71</v>
      </c>
      <c r="F33" s="23" t="n">
        <v>1.11</v>
      </c>
      <c r="G33" s="23" t="n">
        <v>0</v>
      </c>
    </row>
    <row r="34">
      <c r="A34" s="12" t="inlineStr">
        <is>
          <t>2026-04-29</t>
        </is>
      </c>
      <c r="B34" s="7" t="n">
        <v>6627</v>
      </c>
      <c r="C34" s="23" t="n">
        <v>20.82</v>
      </c>
      <c r="D34" s="23" t="n">
        <v>8.41</v>
      </c>
      <c r="E34" s="23" t="n">
        <v>3.87</v>
      </c>
      <c r="F34" s="23" t="n">
        <v>1.85</v>
      </c>
      <c r="G34" s="23" t="n">
        <v>0</v>
      </c>
    </row>
    <row r="35">
      <c r="A35" s="12" t="inlineStr">
        <is>
          <t>2026-04-28</t>
        </is>
      </c>
      <c r="B35" s="7" t="n">
        <v>5638</v>
      </c>
      <c r="C35" s="23" t="n">
        <v>23.49</v>
      </c>
      <c r="D35" s="23" t="n">
        <v>10.11</v>
      </c>
      <c r="E35" s="23" t="n">
        <v>5.23</v>
      </c>
      <c r="F35" s="23" t="n">
        <v>3.08</v>
      </c>
      <c r="G35" s="23" t="n">
        <v>0.82</v>
      </c>
    </row>
  </sheetData>
  <mergeCells count="3">
    <mergeCell ref="A3:G3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5" t="inlineStr">
        <is>
          <t>⚠️ 待技术修复 - 日活统计页面 bug</t>
        </is>
      </c>
    </row>
    <row r="2">
      <c r="A2" s="2" t="inlineStr">
        <is>
          <t>后台路径：系统统计 &gt; 日活统计</t>
        </is>
      </c>
    </row>
    <row r="4">
      <c r="A4" s="8" t="inlineStr"/>
    </row>
    <row r="5">
      <c r="A5" s="18" t="inlineStr">
        <is>
          <t>【现象】</t>
        </is>
      </c>
    </row>
    <row r="6">
      <c r="A6" s="8" t="inlineStr">
        <is>
          <t>该页查询任何日期范围（包括完整的 5/10-5/15）均显示"无数据"</t>
        </is>
      </c>
    </row>
    <row r="7">
      <c r="A7" s="8" t="inlineStr"/>
    </row>
    <row r="8">
      <c r="A8" s="18" t="inlineStr">
        <is>
          <t>【字段结构（修好之后用这套）】</t>
        </is>
      </c>
    </row>
    <row r="9">
      <c r="A9" s="8" t="inlineStr">
        <is>
          <t>日期 | 当日注册总数 | 今日总活跃(留存) | 次日总活跃(留存) | 3日活跃总数(留存) | 5日活跃总数(留存) | 7日活跃总数(留存) | 15日活跃总数(留存) | 30日活跃总数(留存)</t>
        </is>
      </c>
    </row>
    <row r="10">
      <c r="A10" s="8" t="inlineStr"/>
    </row>
    <row r="11">
      <c r="A11" s="18" t="inlineStr">
        <is>
          <t>【临时替代方案】</t>
        </is>
      </c>
    </row>
    <row r="12">
      <c r="A12" s="8" t="inlineStr">
        <is>
          <t>• 平台 DAU：用本看板「日明细30天」sheet 的"日活"列</t>
        </is>
      </c>
    </row>
    <row r="13">
      <c r="A13" s="8" t="inlineStr">
        <is>
          <t>• 平台留存：用本看板「平台留存」sheet（按游戏聚合到平台）</t>
        </is>
      </c>
    </row>
    <row r="14">
      <c r="A14" s="8" t="inlineStr">
        <is>
          <t>• 单游戏留存：直接看后台 系统统计 &gt; 网络游戏注册留存（D1-D30 9 档）</t>
        </is>
      </c>
    </row>
    <row r="15">
      <c r="A15" s="8" t="inlineStr"/>
    </row>
    <row r="16">
      <c r="A16" s="18" t="inlineStr">
        <is>
          <t>【要技术做的事】</t>
        </is>
      </c>
    </row>
    <row r="17">
      <c r="A17" s="8" t="inlineStr">
        <is>
          <t>排查 日活统计 跑数任务为什么生成不了平台维度的统计数据</t>
        </is>
      </c>
    </row>
  </sheetData>
  <mergeCells count="16">
    <mergeCell ref="A1:H1"/>
    <mergeCell ref="A4:H4"/>
    <mergeCell ref="A9:H9"/>
    <mergeCell ref="A12:H12"/>
    <mergeCell ref="A15:H15"/>
    <mergeCell ref="A7:H7"/>
    <mergeCell ref="A2:H2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2026-05-28T11:37:05Z</dcterms:created>
  <dcterms:modified xsi:type="dcterms:W3CDTF">2026-05-28T11:37:05Z</dcterms:modified>
</cp:coreProperties>
</file>